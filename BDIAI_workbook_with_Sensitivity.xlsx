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siacom\Documents\May Research Assignment\"/>
    </mc:Choice>
  </mc:AlternateContent>
  <workbookProtection workbookPassword="CCC9" lockStructure="1"/>
  <bookViews>
    <workbookView xWindow="0" yWindow="0" windowWidth="16380" windowHeight="8190" tabRatio="500" firstSheet="4" activeTab="8"/>
  </bookViews>
  <sheets>
    <sheet name="Cover" sheetId="1" r:id="rId1"/>
    <sheet name="Methodology" sheetId="2" r:id="rId2"/>
    <sheet name="Formula Guide" sheetId="3" r:id="rId3"/>
    <sheet name="Indicator Scores (0-100)" sheetId="4" r:id="rId4"/>
    <sheet name="Rankings" sheetId="5" r:id="rId5"/>
    <sheet name="Sensitivity Analysis" sheetId="6" r:id="rId6"/>
    <sheet name="Source Log" sheetId="7" r:id="rId7"/>
    <sheet name="Data Basis Notes" sheetId="8" r:id="rId8"/>
    <sheet name="References" sheetId="9" r:id="rId9"/>
  </sheets>
  <calcPr calcId="15251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K35" i="6" l="1"/>
  <c r="L35" i="6" s="1"/>
  <c r="I35" i="6"/>
  <c r="J35" i="6" s="1"/>
  <c r="G35" i="6"/>
  <c r="H35" i="6" s="1"/>
  <c r="E35" i="6"/>
  <c r="F35" i="6" s="1"/>
  <c r="C35" i="6"/>
  <c r="D35" i="6" s="1"/>
  <c r="K34" i="6"/>
  <c r="L34" i="6" s="1"/>
  <c r="I34" i="6"/>
  <c r="J34" i="6" s="1"/>
  <c r="G34" i="6"/>
  <c r="H34" i="6" s="1"/>
  <c r="E34" i="6"/>
  <c r="F34" i="6" s="1"/>
  <c r="C34" i="6"/>
  <c r="D34" i="6" s="1"/>
  <c r="K33" i="6"/>
  <c r="L33" i="6" s="1"/>
  <c r="I33" i="6"/>
  <c r="J33" i="6" s="1"/>
  <c r="G33" i="6"/>
  <c r="H33" i="6" s="1"/>
  <c r="E33" i="6"/>
  <c r="F33" i="6" s="1"/>
  <c r="C33" i="6"/>
  <c r="D33" i="6" s="1"/>
  <c r="K32" i="6"/>
  <c r="L32" i="6" s="1"/>
  <c r="I32" i="6"/>
  <c r="J32" i="6" s="1"/>
  <c r="G32" i="6"/>
  <c r="H32" i="6" s="1"/>
  <c r="E32" i="6"/>
  <c r="F32" i="6" s="1"/>
  <c r="C32" i="6"/>
  <c r="D32" i="6" s="1"/>
  <c r="K31" i="6"/>
  <c r="L31" i="6" s="1"/>
  <c r="I31" i="6"/>
  <c r="J31" i="6" s="1"/>
  <c r="G31" i="6"/>
  <c r="H31" i="6" s="1"/>
  <c r="E31" i="6"/>
  <c r="F31" i="6" s="1"/>
  <c r="C31" i="6"/>
  <c r="D31" i="6" s="1"/>
  <c r="K30" i="6"/>
  <c r="L30" i="6" s="1"/>
  <c r="I30" i="6"/>
  <c r="J30" i="6" s="1"/>
  <c r="G30" i="6"/>
  <c r="H30" i="6" s="1"/>
  <c r="E30" i="6"/>
  <c r="F30" i="6" s="1"/>
  <c r="C30" i="6"/>
  <c r="D30" i="6" s="1"/>
  <c r="K29" i="6"/>
  <c r="L29" i="6" s="1"/>
  <c r="I29" i="6"/>
  <c r="J29" i="6" s="1"/>
  <c r="G29" i="6"/>
  <c r="H29" i="6" s="1"/>
  <c r="E29" i="6"/>
  <c r="F29" i="6" s="1"/>
  <c r="C29" i="6"/>
  <c r="D29" i="6" s="1"/>
  <c r="K28" i="6"/>
  <c r="L28" i="6" s="1"/>
  <c r="I28" i="6"/>
  <c r="J28" i="6" s="1"/>
  <c r="G28" i="6"/>
  <c r="H28" i="6" s="1"/>
  <c r="E28" i="6"/>
  <c r="F28" i="6" s="1"/>
  <c r="C28" i="6"/>
  <c r="D28" i="6" s="1"/>
  <c r="K27" i="6"/>
  <c r="L27" i="6" s="1"/>
  <c r="I27" i="6"/>
  <c r="J27" i="6" s="1"/>
  <c r="G27" i="6"/>
  <c r="H27" i="6" s="1"/>
  <c r="E27" i="6"/>
  <c r="F27" i="6" s="1"/>
  <c r="C27" i="6"/>
  <c r="D27" i="6" s="1"/>
  <c r="K26" i="6"/>
  <c r="L26" i="6" s="1"/>
  <c r="I26" i="6"/>
  <c r="J26" i="6" s="1"/>
  <c r="G26" i="6"/>
  <c r="H26" i="6" s="1"/>
  <c r="E26" i="6"/>
  <c r="F26" i="6" s="1"/>
  <c r="C26" i="6"/>
  <c r="D26" i="6" s="1"/>
  <c r="K25" i="6"/>
  <c r="L25" i="6" s="1"/>
  <c r="I25" i="6"/>
  <c r="J25" i="6" s="1"/>
  <c r="G25" i="6"/>
  <c r="H25" i="6" s="1"/>
  <c r="E25" i="6"/>
  <c r="F25" i="6" s="1"/>
  <c r="C25" i="6"/>
  <c r="D25" i="6" s="1"/>
  <c r="K24" i="6"/>
  <c r="L24" i="6" s="1"/>
  <c r="I24" i="6"/>
  <c r="J24" i="6" s="1"/>
  <c r="G24" i="6"/>
  <c r="H24" i="6" s="1"/>
  <c r="E24" i="6"/>
  <c r="F24" i="6" s="1"/>
  <c r="C24" i="6"/>
  <c r="D24" i="6" s="1"/>
  <c r="K23" i="6"/>
  <c r="L23" i="6" s="1"/>
  <c r="I23" i="6"/>
  <c r="J23" i="6" s="1"/>
  <c r="G23" i="6"/>
  <c r="H23" i="6" s="1"/>
  <c r="E23" i="6"/>
  <c r="F23" i="6" s="1"/>
  <c r="C23" i="6"/>
  <c r="D23" i="6" s="1"/>
  <c r="K22" i="6"/>
  <c r="L22" i="6" s="1"/>
  <c r="I22" i="6"/>
  <c r="J22" i="6" s="1"/>
  <c r="G22" i="6"/>
  <c r="H22" i="6" s="1"/>
  <c r="E22" i="6"/>
  <c r="F22" i="6" s="1"/>
  <c r="C22" i="6"/>
  <c r="D22" i="6" s="1"/>
  <c r="K21" i="6"/>
  <c r="L21" i="6" s="1"/>
  <c r="I21" i="6"/>
  <c r="J21" i="6" s="1"/>
  <c r="G21" i="6"/>
  <c r="H21" i="6" s="1"/>
  <c r="E21" i="6"/>
  <c r="F21" i="6" s="1"/>
  <c r="C21" i="6"/>
  <c r="D21" i="6" s="1"/>
  <c r="K20" i="6"/>
  <c r="L20" i="6" s="1"/>
  <c r="I20" i="6"/>
  <c r="J20" i="6" s="1"/>
  <c r="G20" i="6"/>
  <c r="H20" i="6" s="1"/>
  <c r="E20" i="6"/>
  <c r="F20" i="6" s="1"/>
  <c r="C20" i="6"/>
  <c r="D20" i="6" s="1"/>
  <c r="K19" i="6"/>
  <c r="L19" i="6" s="1"/>
  <c r="I19" i="6"/>
  <c r="J19" i="6" s="1"/>
  <c r="G19" i="6"/>
  <c r="H19" i="6" s="1"/>
  <c r="E19" i="6"/>
  <c r="F19" i="6" s="1"/>
  <c r="C19" i="6"/>
  <c r="D19" i="6" s="1"/>
  <c r="K18" i="6"/>
  <c r="L18" i="6" s="1"/>
  <c r="I18" i="6"/>
  <c r="J18" i="6" s="1"/>
  <c r="G18" i="6"/>
  <c r="H18" i="6" s="1"/>
  <c r="E18" i="6"/>
  <c r="F18" i="6" s="1"/>
  <c r="C18" i="6"/>
  <c r="D18" i="6" s="1"/>
  <c r="K17" i="6"/>
  <c r="L17" i="6" s="1"/>
  <c r="I17" i="6"/>
  <c r="J17" i="6" s="1"/>
  <c r="G17" i="6"/>
  <c r="H17" i="6" s="1"/>
  <c r="E17" i="6"/>
  <c r="F17" i="6" s="1"/>
  <c r="C17" i="6"/>
  <c r="D17" i="6" s="1"/>
  <c r="K16" i="6"/>
  <c r="L16" i="6" s="1"/>
  <c r="I16" i="6"/>
  <c r="J16" i="6" s="1"/>
  <c r="G16" i="6"/>
  <c r="H16" i="6" s="1"/>
  <c r="E16" i="6"/>
  <c r="F16" i="6" s="1"/>
  <c r="C16" i="6"/>
  <c r="D16" i="6" s="1"/>
  <c r="L11" i="6"/>
  <c r="L10" i="6"/>
  <c r="L9" i="6"/>
  <c r="L8" i="6"/>
  <c r="L7" i="6"/>
  <c r="M22" i="5"/>
  <c r="L22" i="5"/>
  <c r="K22" i="5"/>
  <c r="J22" i="5"/>
  <c r="I22" i="5"/>
  <c r="H22" i="5"/>
  <c r="G22" i="5"/>
  <c r="F22" i="5"/>
  <c r="N22" i="5" s="1"/>
  <c r="E22" i="5"/>
  <c r="M21" i="5"/>
  <c r="L21" i="5"/>
  <c r="K21" i="5"/>
  <c r="J21" i="5"/>
  <c r="I21" i="5"/>
  <c r="H21" i="5"/>
  <c r="G21" i="5"/>
  <c r="F21" i="5"/>
  <c r="E21" i="5"/>
  <c r="N21" i="5" s="1"/>
  <c r="M20" i="5"/>
  <c r="L20" i="5"/>
  <c r="K20" i="5"/>
  <c r="J20" i="5"/>
  <c r="I20" i="5"/>
  <c r="H20" i="5"/>
  <c r="G20" i="5"/>
  <c r="F20" i="5"/>
  <c r="E20" i="5"/>
  <c r="N20" i="5" s="1"/>
  <c r="M19" i="5"/>
  <c r="L19" i="5"/>
  <c r="K19" i="5"/>
  <c r="J19" i="5"/>
  <c r="I19" i="5"/>
  <c r="H19" i="5"/>
  <c r="G19" i="5"/>
  <c r="F19" i="5"/>
  <c r="E19" i="5"/>
  <c r="N19" i="5" s="1"/>
  <c r="N18" i="5"/>
  <c r="M18" i="5"/>
  <c r="L18" i="5"/>
  <c r="K18" i="5"/>
  <c r="J18" i="5"/>
  <c r="I18" i="5"/>
  <c r="H18" i="5"/>
  <c r="G18" i="5"/>
  <c r="F18" i="5"/>
  <c r="E18" i="5"/>
  <c r="M17" i="5"/>
  <c r="N17" i="5" s="1"/>
  <c r="L17" i="5"/>
  <c r="K17" i="5"/>
  <c r="J17" i="5"/>
  <c r="I17" i="5"/>
  <c r="H17" i="5"/>
  <c r="G17" i="5"/>
  <c r="F17" i="5"/>
  <c r="E17" i="5"/>
  <c r="M16" i="5"/>
  <c r="L16" i="5"/>
  <c r="N16" i="5" s="1"/>
  <c r="K16" i="5"/>
  <c r="J16" i="5"/>
  <c r="I16" i="5"/>
  <c r="H16" i="5"/>
  <c r="G16" i="5"/>
  <c r="F16" i="5"/>
  <c r="E16" i="5"/>
  <c r="M15" i="5"/>
  <c r="L15" i="5"/>
  <c r="K15" i="5"/>
  <c r="N15" i="5" s="1"/>
  <c r="J15" i="5"/>
  <c r="I15" i="5"/>
  <c r="H15" i="5"/>
  <c r="G15" i="5"/>
  <c r="F15" i="5"/>
  <c r="E15" i="5"/>
  <c r="M14" i="5"/>
  <c r="L14" i="5"/>
  <c r="K14" i="5"/>
  <c r="J14" i="5"/>
  <c r="I14" i="5"/>
  <c r="H14" i="5"/>
  <c r="G14" i="5"/>
  <c r="F14" i="5"/>
  <c r="N14" i="5" s="1"/>
  <c r="E14" i="5"/>
  <c r="M13" i="5"/>
  <c r="L13" i="5"/>
  <c r="K13" i="5"/>
  <c r="J13" i="5"/>
  <c r="I13" i="5"/>
  <c r="H13" i="5"/>
  <c r="G13" i="5"/>
  <c r="F13" i="5"/>
  <c r="E13" i="5"/>
  <c r="N13" i="5" s="1"/>
  <c r="M12" i="5"/>
  <c r="L12" i="5"/>
  <c r="K12" i="5"/>
  <c r="J12" i="5"/>
  <c r="I12" i="5"/>
  <c r="H12" i="5"/>
  <c r="N12" i="5" s="1"/>
  <c r="G12" i="5"/>
  <c r="F12" i="5"/>
  <c r="E12" i="5"/>
  <c r="M11" i="5"/>
  <c r="L11" i="5"/>
  <c r="K11" i="5"/>
  <c r="J11" i="5"/>
  <c r="I11" i="5"/>
  <c r="H11" i="5"/>
  <c r="G11" i="5"/>
  <c r="F11" i="5"/>
  <c r="E11" i="5"/>
  <c r="N11" i="5" s="1"/>
  <c r="M10" i="5"/>
  <c r="L10" i="5"/>
  <c r="K10" i="5"/>
  <c r="J10" i="5"/>
  <c r="I10" i="5"/>
  <c r="H10" i="5"/>
  <c r="G10" i="5"/>
  <c r="F10" i="5"/>
  <c r="N10" i="5" s="1"/>
  <c r="E10" i="5"/>
  <c r="M9" i="5"/>
  <c r="L9" i="5"/>
  <c r="K9" i="5"/>
  <c r="J9" i="5"/>
  <c r="I9" i="5"/>
  <c r="H9" i="5"/>
  <c r="G9" i="5"/>
  <c r="F9" i="5"/>
  <c r="E9" i="5"/>
  <c r="N9" i="5" s="1"/>
  <c r="M8" i="5"/>
  <c r="L8" i="5"/>
  <c r="K8" i="5"/>
  <c r="J8" i="5"/>
  <c r="I8" i="5"/>
  <c r="H8" i="5"/>
  <c r="G8" i="5"/>
  <c r="F8" i="5"/>
  <c r="E8" i="5"/>
  <c r="N8" i="5" s="1"/>
  <c r="M7" i="5"/>
  <c r="L7" i="5"/>
  <c r="K7" i="5"/>
  <c r="J7" i="5"/>
  <c r="I7" i="5"/>
  <c r="H7" i="5"/>
  <c r="G7" i="5"/>
  <c r="F7" i="5"/>
  <c r="E7" i="5"/>
  <c r="N7" i="5" s="1"/>
  <c r="B7" i="5" s="1"/>
  <c r="N6" i="5"/>
  <c r="M6" i="5"/>
  <c r="L6" i="5"/>
  <c r="K6" i="5"/>
  <c r="J6" i="5"/>
  <c r="I6" i="5"/>
  <c r="H6" i="5"/>
  <c r="G6" i="5"/>
  <c r="F6" i="5"/>
  <c r="E6" i="5"/>
  <c r="M5" i="5"/>
  <c r="N5" i="5" s="1"/>
  <c r="L5" i="5"/>
  <c r="K5" i="5"/>
  <c r="J5" i="5"/>
  <c r="I5" i="5"/>
  <c r="H5" i="5"/>
  <c r="G5" i="5"/>
  <c r="F5" i="5"/>
  <c r="E5" i="5"/>
  <c r="M4" i="5"/>
  <c r="L4" i="5"/>
  <c r="N4" i="5" s="1"/>
  <c r="K4" i="5"/>
  <c r="J4" i="5"/>
  <c r="I4" i="5"/>
  <c r="H4" i="5"/>
  <c r="G4" i="5"/>
  <c r="F4" i="5"/>
  <c r="E4" i="5"/>
  <c r="M3" i="5"/>
  <c r="L3" i="5"/>
  <c r="K3" i="5"/>
  <c r="N3" i="5" s="1"/>
  <c r="J3" i="5"/>
  <c r="I3" i="5"/>
  <c r="H3" i="5"/>
  <c r="G3" i="5"/>
  <c r="F3" i="5"/>
  <c r="E3" i="5"/>
  <c r="D19" i="2"/>
  <c r="B20" i="5" l="1"/>
  <c r="N24" i="6"/>
  <c r="O24" i="6" s="1"/>
  <c r="P24" i="6" s="1"/>
  <c r="M24" i="6"/>
  <c r="B6" i="5"/>
  <c r="N17" i="6"/>
  <c r="M17" i="6"/>
  <c r="N29" i="6"/>
  <c r="M29" i="6"/>
  <c r="B18" i="5"/>
  <c r="N22" i="6"/>
  <c r="M22" i="6"/>
  <c r="N34" i="6"/>
  <c r="O34" i="6" s="1"/>
  <c r="P34" i="6" s="1"/>
  <c r="M34" i="6"/>
  <c r="B19" i="5"/>
  <c r="N27" i="6"/>
  <c r="M27" i="6"/>
  <c r="B12" i="5"/>
  <c r="B5" i="5"/>
  <c r="B17" i="5"/>
  <c r="N20" i="6"/>
  <c r="M20" i="6"/>
  <c r="N32" i="6"/>
  <c r="M32" i="6"/>
  <c r="B4" i="5"/>
  <c r="N25" i="6"/>
  <c r="M25" i="6"/>
  <c r="B16" i="5"/>
  <c r="N18" i="6"/>
  <c r="M18" i="6"/>
  <c r="N30" i="6"/>
  <c r="O30" i="6" s="1"/>
  <c r="P30" i="6" s="1"/>
  <c r="M30" i="6"/>
  <c r="B22" i="5"/>
  <c r="N23" i="6"/>
  <c r="M23" i="6"/>
  <c r="N35" i="6"/>
  <c r="M35" i="6"/>
  <c r="B11" i="5"/>
  <c r="B14" i="5"/>
  <c r="B9" i="5"/>
  <c r="B13" i="5"/>
  <c r="B10" i="5"/>
  <c r="B3" i="5"/>
  <c r="B15" i="5"/>
  <c r="N16" i="6"/>
  <c r="M16" i="6"/>
  <c r="N28" i="6"/>
  <c r="M28" i="6"/>
  <c r="N21" i="6"/>
  <c r="O21" i="6" s="1"/>
  <c r="P21" i="6" s="1"/>
  <c r="M21" i="6"/>
  <c r="N33" i="6"/>
  <c r="M33" i="6"/>
  <c r="B21" i="5"/>
  <c r="N26" i="6"/>
  <c r="M26" i="6"/>
  <c r="B8" i="5"/>
  <c r="N19" i="6"/>
  <c r="M19" i="6"/>
  <c r="N31" i="6"/>
  <c r="M31" i="6"/>
  <c r="O28" i="6" l="1"/>
  <c r="P28" i="6" s="1"/>
  <c r="O35" i="6"/>
  <c r="P35" i="6" s="1"/>
  <c r="O23" i="6"/>
  <c r="P23" i="6" s="1"/>
  <c r="O26" i="6"/>
  <c r="P26" i="6" s="1"/>
  <c r="O18" i="6"/>
  <c r="P18" i="6" s="1"/>
  <c r="O32" i="6"/>
  <c r="P32" i="6" s="1"/>
  <c r="O16" i="6"/>
  <c r="P16" i="6" s="1"/>
  <c r="O29" i="6"/>
  <c r="P29" i="6" s="1"/>
  <c r="O17" i="6"/>
  <c r="P17" i="6" s="1"/>
  <c r="O27" i="6"/>
  <c r="P27" i="6" s="1"/>
  <c r="O31" i="6"/>
  <c r="P31" i="6" s="1"/>
  <c r="O22" i="6"/>
  <c r="P22" i="6" s="1"/>
  <c r="O19" i="6"/>
  <c r="P19" i="6" s="1"/>
  <c r="O20" i="6"/>
  <c r="P20" i="6" s="1"/>
  <c r="O33" i="6"/>
  <c r="P33" i="6" s="1"/>
  <c r="O25" i="6"/>
  <c r="P25" i="6" s="1"/>
</calcChain>
</file>

<file path=xl/sharedStrings.xml><?xml version="1.0" encoding="utf-8"?>
<sst xmlns="http://schemas.openxmlformats.org/spreadsheetml/2006/main" count="475" uniqueCount="268">
  <si>
    <t>Bangladesh District Investment Attractiveness Index (BDIAI)</t>
  </si>
  <si>
    <t>Full Data, Methodology, and Ranking Workbook</t>
  </si>
  <si>
    <t>Author: Ahmed Safwan Sajid</t>
  </si>
  <si>
    <t>Prepared for: May International Trade Services Limited</t>
  </si>
  <si>
    <t>Companion file to: BDIAI_Research_Report.docx</t>
  </si>
  <si>
    <t>Date: July 2026</t>
  </si>
  <si>
    <t>© 2026 Ahmed Safwan Sajid. All Rights Reserved. Intellectual Property of the Author.</t>
  </si>
  <si>
    <t>This workbook is the intellectual property of the author. It may not be copied, redistributed, or reproduced, in whole or in part, without the author's express permission.</t>
  </si>
  <si>
    <t>Sheet Guide</t>
  </si>
  <si>
    <t>Cover — This page.</t>
  </si>
  <si>
    <t>Methodology — Indicators, weights, scoring approach, and the composite-score formula, explained in full.</t>
  </si>
  <si>
    <t>Formula Guide — Plain-language explanation of every formula type used in this workbook, with a worked example.</t>
  </si>
  <si>
    <t>Indicator Scores (0-100) — Raw analyst-assigned input scores per district per indicator (editable, blue cells).</t>
  </si>
  <si>
    <t>Rankings — Live, formula-driven weighted composite score and rank for all 20 districts.</t>
  </si>
  <si>
    <t>Source Log — District-by-district evidence log — the fact, its source, and the year, for every input.</t>
  </si>
  <si>
    <t>Data Basis Notes — Confidence level and recommended verification source for each of the 9 indicators.</t>
  </si>
  <si>
    <t>References — Complete numbered reference list (30 sources).</t>
  </si>
  <si>
    <t>Index Methodology &amp; Scoring Framework</t>
  </si>
  <si>
    <t>1. District Selection</t>
  </si>
  <si>
    <t>20 districts selected on an economic/industrial-hub basis (strongest data availability), while retaining at least one district per division. See 'Rankings' sheet for the full list.</t>
  </si>
  <si>
    <t>2. Indicators &amp; Weights (INPUT CELLS — edit D10:D18 to re-run the model)</t>
  </si>
  <si>
    <t>Indicator</t>
  </si>
  <si>
    <t>Rationale</t>
  </si>
  <si>
    <t>Weight</t>
  </si>
  <si>
    <t>Seaport/Airport Proximity &amp; Multimodal Connectivity</t>
  </si>
  <si>
    <t>Logistics cost is often the binding constraint on industrial siting in Bangladesh.</t>
  </si>
  <si>
    <t>EPZ / Economic Zone / Industrial Park Presence</t>
  </si>
  <si>
    <t>Direct proxy for state-backed / large-scale investment infrastructure.</t>
  </si>
  <si>
    <t>Power &amp; Gas Availability / Reliability</t>
  </si>
  <si>
    <t>Repeatedly cited by manufacturers as the top operational risk.</t>
  </si>
  <si>
    <t>Labor Force Availability &amp; Wage Competitiveness</t>
  </si>
  <si>
    <t>Core input cost and availability for industrial investment.</t>
  </si>
  <si>
    <t>Literacy Rate &amp; Technical Education Infrastructure</t>
  </si>
  <si>
    <t>Skilled-labor pipeline for higher-value investment.</t>
  </si>
  <si>
    <t>Banking &amp; Financial Institution Presence</t>
  </si>
  <si>
    <t>Access to trade finance and working capital.</t>
  </si>
  <si>
    <t>Broadband &amp; Mobile Network Coverage</t>
  </si>
  <si>
    <t>Increasingly material for logistics, fintech, and back-office operations.</t>
  </si>
  <si>
    <t>Existing Industrial Base (Major Industries Present)</t>
  </si>
  <si>
    <t>Agglomeration effects and existing supplier ecosystems.</t>
  </si>
  <si>
    <t>Recent Public/Private Investment Momentum</t>
  </si>
  <si>
    <t>Forward-looking signal, not just static endowment.</t>
  </si>
  <si>
    <t>TOTAL (must equal 100%)</t>
  </si>
  <si>
    <t>3. The Composite Score Formula, In Full</t>
  </si>
  <si>
    <t>For each district, the Composite Score is:
   Composite Score = (Connectivity x 15%) + (EPZ/Econ. Zone x 15%) + (Power/Gas Reliability x 15%) + (Labor Availability x 12%) + (Banking Density x 10%) + (Industrial Base x 10%) + (Literacy/Tech Ed x 8%) + (Broadband/Mobile x 8%) + (Investment Momentum x 7%)
Each term is one indicator's 0-100 score multiplied by its weight (see column D above). The nine weighted terms are then added together (Excel's SUM function) to produce one Composite Score per district, on a 0-100 scale. Because every weight is a fixed share of the 0-100 scale and the weights sum to exactly 100%, the Composite Score itself is also always on a 0-100 scale, so districts can be compared directly.
Districts are then placed in rank order using Excel's RANK function, which simply counts how many Composite Scores in the list are higher than a given district's score and returns that as its rank (rank 1 = highest score = most attractive).
IMPORTANT LIMITATION: for three indicators (Power/Gas Reliability, Banking Density, Broadband/Mobile — 33% of total weight), no single authoritative district-wise public dataset was retrievable via general web search within this research session. Scores for these three indicators are evidence-based ANALYST ESTIMATES using documented proxies (see 'Data Basis Notes' sheet), not official statistics. This is flagged transparently, and recommended primary sources for follow-up verification are named in the notes.
See the 'Formula Guide' sheet for a full worked numeric example and a plain-language explanation of every formula used in this workbook.</t>
  </si>
  <si>
    <t>Formula Guide — Every Formula Used In This Workbook, Explained</t>
  </si>
  <si>
    <t>Where It's Used</t>
  </si>
  <si>
    <t>Formula (as written in the cell)</t>
  </si>
  <si>
    <t>Plain-Language Explanation</t>
  </si>
  <si>
    <t>'Rankings' sheet, each indicator column (e.g. cell E3)</t>
  </si>
  <si>
    <t>=INDEX('Indicator Scores (0-100)'!C$3:C$22, MATCH($C3,'Indicator Scores (0-100)'!$B$3:$B$22,0)) * Methodology!D$10</t>
  </si>
  <si>
    <t>This looks up the district named in column C of this row (e.g. 'Dhaka'), FINDS that exact district name in the 'Indicator Scores' sheet (MATCH), and PULLS that district's score for this specific indicator (INDEX) — rather than assuming the two sheets are in the same row order. It then multiplies that score by the indicator's weight, which is pulled directly from the Methodology sheet. This is deliberately more robust than a plain 'same row number' reference: if a district is ever added, removed, or reordered on the Indicator Scores sheet, this formula still finds the correct district by name instead of silently pulling the wrong row.</t>
  </si>
  <si>
    <t>'Rankings' sheet, Composite Score column (e.g. cell N3)</t>
  </si>
  <si>
    <t>=SUM(E3:M3)</t>
  </si>
  <si>
    <t>Adds up the nine weighted indicator contributions calculated in that row (columns E through M) into one 0-100 Composite Score for the district.</t>
  </si>
  <si>
    <t>'Rankings' sheet, Rank column (e.g. cell B3)</t>
  </si>
  <si>
    <t>=RANK(N3,$N$3:$N$22)</t>
  </si>
  <si>
    <t>Compares this district's Composite Score (N3) against every district's score in the full range ($N$3:$N$22, locked with $ so it doesn't shift when copied down) and returns its position — 1 for the highest score, 20 for the lowest. Excel's RANK function handles this automatically; no manual sorting is needed, and the rank updates live if any score or weight changes.</t>
  </si>
  <si>
    <t>'Methodology' sheet, Total Weight cell (D19)</t>
  </si>
  <si>
    <t>=SUM(D10:D18)</t>
  </si>
  <si>
    <t>Adds the nine indicator weights together as a check. This should always read 100% — if it does not, the weights have been mis-entered and the Composite Score scale will no longer run cleanly from 0 to 100.</t>
  </si>
  <si>
    <t>Worked Example — Dhaka's Composite Score</t>
  </si>
  <si>
    <t>Dhaka's nine raw indicator scores (from the 'Indicator Scores' sheet) and the workbook's weights (from 'Methodology') combine as follows:
Connectivity:        95 x 15% = 14.25
EPZ/Econ. Zone:       90 x 15% = 13.50
Power/Gas Reliability:85 x 15% = 12.75
Labor Availability:   90 x 12% = 10.80
Banking Density:      95 x 10% =  9.50
Industrial Base:      95 x 10% =  9.50
Literacy/Tech Ed:     90 x  8% =  7.20
Broadband/Mobile:     90 x  8% =  7.20
Investment Momentum:  70 x  7% =  4.90
                              --------
                    SUM =  89.60   &lt;- Dhaka's Composite Score, and Rank 1 of 20
Every other district's score in the 'Rankings' sheet is calculated the same way, automatically, by the formulas above — this worked example exists purely so the calculation can be checked by hand without opening Excel.</t>
  </si>
  <si>
    <t>District-Level Indicator Scores (0-100 scale; higher = more attractive)</t>
  </si>
  <si>
    <t>District</t>
  </si>
  <si>
    <t>Connectivity</t>
  </si>
  <si>
    <t>EPZ / Econ. Zone</t>
  </si>
  <si>
    <t>Power/Gas Reliability</t>
  </si>
  <si>
    <t>Labor Availability</t>
  </si>
  <si>
    <t>Literacy/Tech Ed.</t>
  </si>
  <si>
    <t>Banking Density</t>
  </si>
  <si>
    <t>Broadband/Mobile</t>
  </si>
  <si>
    <t>Industrial Base</t>
  </si>
  <si>
    <t>Investment Momentum</t>
  </si>
  <si>
    <t>Dhaka</t>
  </si>
  <si>
    <t>Gazipur</t>
  </si>
  <si>
    <t>Narayanganj</t>
  </si>
  <si>
    <t>Chattogram</t>
  </si>
  <si>
    <t>Cumilla</t>
  </si>
  <si>
    <t>Feni</t>
  </si>
  <si>
    <t>Cox's Bazar</t>
  </si>
  <si>
    <t>Narsingdi</t>
  </si>
  <si>
    <t>Munshiganj</t>
  </si>
  <si>
    <t>Tangail</t>
  </si>
  <si>
    <t>Bogura</t>
  </si>
  <si>
    <t>Rajshahi</t>
  </si>
  <si>
    <t>Natore</t>
  </si>
  <si>
    <t>Khulna</t>
  </si>
  <si>
    <t>Jashore</t>
  </si>
  <si>
    <t>Sylhet</t>
  </si>
  <si>
    <t>Barisal</t>
  </si>
  <si>
    <t>Mymensingh</t>
  </si>
  <si>
    <t>Rangpur</t>
  </si>
  <si>
    <t>Faridpur</t>
  </si>
  <si>
    <t>Blue values are analyst-assigned inputs based on documented evidence (see Source Log and Methodology sheets). Edit these cells to re-run the model with updated data — the 'Rankings' sheet looks up each district by NAME (not by row position), so scores can be edited, and rows re-sorted or added, without breaking any formula.</t>
  </si>
  <si>
    <t>BDIAI Final Ranking (weighted composite score)</t>
  </si>
  <si>
    <t>Rank</t>
  </si>
  <si>
    <t>Division</t>
  </si>
  <si>
    <t>Composite Score</t>
  </si>
  <si>
    <t>Composite Score = sum of (indicator score x indicator weight), looked up by district NAME via INDEX/MATCH (robust to reordering). Weights are set on the 'Methodology' sheet; indicator scores are set on the 'Indicator Scores (0-100)' sheet. Both are formula-linked, so changing either recalculates rank automatically. See the 'Formula Guide' sheet for a full explanation and worked example.</t>
  </si>
  <si>
    <t>Sensitivity Analysis — How Robust Is the Ranking to Different Weighting Philosophies?</t>
  </si>
  <si>
    <t>The Methodology sheet's weights reflect one reasonable view of what matters most. This sheet re-runs the entire index under four alternative, equally defensible weighting philosophies, so the ranking's sensitivity to that judgment call is visible and testable rather than hidden inside one fixed set of numbers.</t>
  </si>
  <si>
    <t>1. Scenario Weight Definitions (INPUT CELLS — edit to test your own scenario)</t>
  </si>
  <si>
    <t>Scenario</t>
  </si>
  <si>
    <t>Total</t>
  </si>
  <si>
    <t>Base Case (current model)</t>
  </si>
  <si>
    <t>Equal Weights</t>
  </si>
  <si>
    <t>Infrastructure-Heavy</t>
  </si>
  <si>
    <t>Labor/Education-Heavy</t>
  </si>
  <si>
    <t>Investment-Momentum-Heavy (forward-looking)</t>
  </si>
  <si>
    <t>2. Composite Score and Rank Per District, Under Each Scenario</t>
  </si>
  <si>
    <t>Base Case Score</t>
  </si>
  <si>
    <t>Base Case Rank</t>
  </si>
  <si>
    <t>Equal Weights Score</t>
  </si>
  <si>
    <t>Equal Weights Rank</t>
  </si>
  <si>
    <t>Infrastructure-Heavy Score</t>
  </si>
  <si>
    <t>Infrastructure-Heavy Rank</t>
  </si>
  <si>
    <t>Labor/Education-Heavy Score</t>
  </si>
  <si>
    <t>Labor/Education-Heavy Rank</t>
  </si>
  <si>
    <t>Investment-Momentum-Heavy Score</t>
  </si>
  <si>
    <t>Investment-Momentum-Heavy Rank</t>
  </si>
  <si>
    <t>Min Rank</t>
  </si>
  <si>
    <t>Max Rank</t>
  </si>
  <si>
    <t>Rank Range</t>
  </si>
  <si>
    <t>Stability</t>
  </si>
  <si>
    <t>How to read this: "Rank Range" is the spread between a district's best and worst rank across the five scenarios above. "Stable" (range 0-1) means the district lands in essentially the same position regardless of weighting philosophy — a robust conclusion. "Volatile" (range 4+) means the district's position depends heavily on which factors you choose to prioritize, and any decision resting on that district's specific rank should be revisited under the scenario closest to your actual priorities. To test a scenario of your own, edit any weight row in Section 1 (each row must still sum to 100%) — every score and rank in Section 2 recalculates automatically.</t>
  </si>
  <si>
    <t>Source Log — Key Evidence Per District</t>
  </si>
  <si>
    <t>Indicator(s)</t>
  </si>
  <si>
    <t>Key Fact / Statistic</t>
  </si>
  <si>
    <t>Source</t>
  </si>
  <si>
    <t>Year</t>
  </si>
  <si>
    <t>Manufacturing contributes 56% of Dhaka District GDP (2025); RMG is the primary driver.</t>
  </si>
  <si>
    <t>Grokipedia / Dhaka District (cites BBS PHC 2021-22 District Report)</t>
  </si>
  <si>
    <t>2025</t>
  </si>
  <si>
    <t>Literacy</t>
  </si>
  <si>
    <t>Literacy rate 84.88% (population aged 7+).</t>
  </si>
  <si>
    <t>Grokipedia / Dhaka District (cites BBS District Report Dhaka, 25-06-2024)</t>
  </si>
  <si>
    <t>2022</t>
  </si>
  <si>
    <t>EPZ / Industrial Base</t>
  </si>
  <si>
    <t>BEPZ is Bangladesh's largest industrial park at 2,023 acres; hosts textiles, pharma, food processing.</t>
  </si>
  <si>
    <t>'About Gazipur', industry overview</t>
  </si>
  <si>
    <t>2023</t>
  </si>
  <si>
    <t>~75% of the country's garment industry is located in Gazipur.</t>
  </si>
  <si>
    <t>Industrial Engineers Association of Bangladesh (IEAB)</t>
  </si>
  <si>
    <t>n.d.</t>
  </si>
  <si>
    <t>Chattogram port handles 92% of Bangladesh's seaborne trade and 98% of containerised transport.</t>
  </si>
  <si>
    <t>The Daily Star, 'How Chattogram built its economic legacy'</t>
  </si>
  <si>
    <t>EPZ</t>
  </si>
  <si>
    <t>Chattogram EPZ (est. 1983) has grown to 144 industrial units, incl. 78 RMG factories; $1.8bn exports in 9 months.</t>
  </si>
  <si>
    <t>The Daily Star</t>
  </si>
  <si>
    <t>Karnaphuli EPZ employs 77,137 workers with $13.90bn cumulative exports.</t>
  </si>
  <si>
    <t>BEPZA official site (bepza.gov.bd)</t>
  </si>
  <si>
    <t>Accounts for 55% of national knitwear manufacturing and 33% of textile mills.</t>
  </si>
  <si>
    <t>ScienceDirect, 'City profile: Narayanganj, Bangladesh' (cites BBS 2013)</t>
  </si>
  <si>
    <t>2016</t>
  </si>
  <si>
    <t>Adamjee EPZ attracted 46 entrepreneurs, $1.6bn+ exports, 40,000+ jobs (2014-15).</t>
  </si>
  <si>
    <t>ScienceDirect (cites BEPZA 2015)</t>
  </si>
  <si>
    <t>Cumilla EPZ employs ~50,000 people; FY2024-25 exports ~$902m, doubling original target.</t>
  </si>
  <si>
    <t>BSS News / New Age</t>
  </si>
  <si>
    <t>167 km from Chattogram seaport, 97 km from Dhaka; airport not operational; no direct EPZ rail spur.</t>
  </si>
  <si>
    <t>The Business Standard</t>
  </si>
  <si>
    <t>Mirsarai/Feni National SEZ spans 30,000+ acres; Bashundhara (500 ac) and Ananta Group (250 ac, BDT 3,500cr) among anchors.</t>
  </si>
  <si>
    <t>Forever Engineering Ltd; BEZA</t>
  </si>
  <si>
    <t>2024</t>
  </si>
  <si>
    <t>Feni EZ site sits on the highway carrying 90% of Bangladesh's export/import goods (ADB, 2013 study).</t>
  </si>
  <si>
    <t>BEZA, Feni Economic Zone page</t>
  </si>
  <si>
    <t>Maheshkhali-Matarbari hub projected to draw $47-48bn private investment, $150bn total GDP impact.</t>
  </si>
  <si>
    <t>Jagonews24</t>
  </si>
  <si>
    <t>2026</t>
  </si>
  <si>
    <t>Moheshkhali Economic Zone spans 3,500-4,000 acres adjacent to Matarbari deep-sea port.</t>
  </si>
  <si>
    <t>Invest Bangladesh; Business Standard</t>
  </si>
  <si>
    <t>347 factories renewed registration in 2022; 26,693 handlooms/power looms employing 7,247 people.</t>
  </si>
  <si>
    <t>The Daily Star, 'Narsingdi's clout as industrial hub grows'</t>
  </si>
  <si>
    <t>Padma Bridge (2022) cut Dhaka travel time from 12+ hrs by ferry to ~2 hrs by road; rail link operational since Oct 2023.</t>
  </si>
  <si>
    <t>Grokipedia / Munshiganj District (cites Bangladesh Bridge Authority)</t>
  </si>
  <si>
    <t>Home to Abdul Monem Economic Zone (AMEZ) and a Honda motorcycle manufacturing plant.</t>
  </si>
  <si>
    <t>Wikipedia / Munshiganj District</t>
  </si>
  <si>
    <t>Major activities: Tangail saree, copper/bronze, bamboo/cane, wood, paper, bidi industries.</t>
  </si>
  <si>
    <t>Citizen's Consultation Meeting background note, Tangail</t>
  </si>
  <si>
    <t>26.40% of population aged 5+ never attended school; only 4.25% hold degree-level qualifications.</t>
  </si>
  <si>
    <t>Grokipedia / Tangail District (cites BBS census 2022)</t>
  </si>
  <si>
    <t>Long-planned airport moving forward; expected to benefit Bogura + 5 neighboring districts.</t>
  </si>
  <si>
    <t>Dhaka Tribune</t>
  </si>
  <si>
    <t>Power/Gas</t>
  </si>
  <si>
    <t>District 'does not have enough supply of electricity, though two 50 MW power plants exist.'</t>
  </si>
  <si>
    <t>ResearchGate, 'Industrialization in Rajshahi District: Prospects and Challenges'</t>
  </si>
  <si>
    <t>No EPZ; a 205-acre agro-based economic zone was planned (target 2019) but has faced delays.</t>
  </si>
  <si>
    <t>2019</t>
  </si>
  <si>
    <t>Local demand for gas pipeline supply not yet met — a stated public demand and industrialization constraint.</t>
  </si>
  <si>
    <t>Natore district government site</t>
  </si>
  <si>
    <t>Two state-owned sugar mills anchor the economy; agriculture is ~70% of occupations.</t>
  </si>
  <si>
    <t>Grokipedia / Natore District (cites BBS census 2022)</t>
  </si>
  <si>
    <t>FY2024-25 exports (jute, shrimp, vegetables) totaled Tk 5,971.40 crore from the Khulna region.</t>
  </si>
  <si>
    <t>BSS News (Export Promotion Bureau data)</t>
  </si>
  <si>
    <t>Fuel/energy shortage identified by Khulna Chamber of Commerce as the top industrialization obstacle.</t>
  </si>
  <si>
    <t>BEPZA holds 503 acres for Jashore EPZ; Tk 1,678.29cr project targeting $2bn investment, 150,000 direct jobs.</t>
  </si>
  <si>
    <t>CORRECTION: 63.08% is the literacy rate for Jashore CITY/municipality (2023), not the district. A separate non-primary estimate puts district-wide literacy near 77% (age 7+), but this could not be confirmed against a primary BBS District Report in this research. Treated as low-confidence pending direct BBS verification.</t>
  </si>
  <si>
    <t>Wikipedia (Jessore town infobox, 2023) vs. jessoreinfo.com (district estimate, non-primary) — conflict unresolved</t>
  </si>
  <si>
    <t>2023 / n.d.</t>
  </si>
  <si>
    <t>Per capita GDP $3,410 (2025), 2nd-highest in Bangladesh; largest gas fields + only crude oil field nationally.</t>
  </si>
  <si>
    <t>Wikipedia, 'Economy of Sylhet Division'</t>
  </si>
  <si>
    <t>Heavily remittance-dependent economy — a structural vulnerability given exposure to external labor-market shocks.</t>
  </si>
  <si>
    <t>Grokipedia / Sylhet District</t>
  </si>
  <si>
    <t>No major EPZ has historically operated in Barisal Division; Patuakhali EPZ (in progress) is the first.</t>
  </si>
  <si>
    <t>The Asian Age Online</t>
  </si>
  <si>
    <t>NOTE: Payra seaport &amp; power plant are physically in Patuakhali district, not Barisal district — regional not in-district asset.</t>
  </si>
  <si>
    <t>Multiple (Daily Star, IEAB) — analyst cross-check</t>
  </si>
  <si>
    <t>2022-24</t>
  </si>
  <si>
    <t>Hamid Economic Zone (153 ac, Tk 13.44bn planned) and Akij Economic Zone (100+ ac, Tk 1,500cr) both at Trishal.</t>
  </si>
  <si>
    <t>The Financial Express; BEZA</t>
  </si>
  <si>
    <t>2018</t>
  </si>
  <si>
    <t>Second economic zone/BSCIC estate stalled by red tape for 16 years; existing BSCIC enclave in disrepair.</t>
  </si>
  <si>
    <t>Power/Gas &amp; Risk</t>
  </si>
  <si>
    <t>62.46% of Rangpur Division lies in moderate-to-very-high flood-risk zones.</t>
  </si>
  <si>
    <t>Grokipedia / Rangpur District</t>
  </si>
  <si>
    <t>Numerous jute mills, sugar mills, and a 50 MW thermal power plant; major Bangladesh Railway hub.</t>
  </si>
  <si>
    <t>Alchetron / Faridpur District Information</t>
  </si>
  <si>
    <t>Investors actively buying land in Faridpur post-Padma Bridge, alongside Madaripur, Shariatpur, Gopalganj, Khulna.</t>
  </si>
  <si>
    <t>The Financial Express</t>
  </si>
  <si>
    <t>2020</t>
  </si>
  <si>
    <t>National benchmark</t>
  </si>
  <si>
    <t>National literacy rate (age 7+) is 74.66% (2022 census), up from 51.77% (2011); highest in Dhaka division (78.09%), lowest in Mymensingh division (67.09%).</t>
  </si>
  <si>
    <t>The Daily Star (BBS 2022 census)</t>
  </si>
  <si>
    <t>National grid electrification reached 99.5% of the population (2023) — access is near-universal; reliability is the real differentiator.</t>
  </si>
  <si>
    <t>Wikipedia, 'Electricity sector in Bangladesh'</t>
  </si>
  <si>
    <t>Data Basis &amp; Confidence Notes Per Indicator</t>
  </si>
  <si>
    <t>Basis for Scores / Confidence Level / Recommended Verification Source</t>
  </si>
  <si>
    <t>Based on documented seaport/airport distances, highway/rail links, and BEZA/BEPZA site descriptions (see Source Log).</t>
  </si>
  <si>
    <t>Based on confirmed BEPZA/BEZA zone presence, acreage, and operational status (see Source Log).</t>
  </si>
  <si>
    <t>National grid access is ~99.5% (BPDB, 2023) and therefore not differentiating; score reflects documented INDUSTRIAL-GRADE reliability complaints/advantages per district (see Source Log). LOWER CONFIDENCE — recommend verifying against PGCB/Petrobangla district load-shedding data.</t>
  </si>
  <si>
    <t>Based on documented workforce counts in EPZs/RMG clusters and qualitative labor-supply commentary. LOWER CONFIDENCE for districts without EPZ employment figures.</t>
  </si>
  <si>
    <t>Where exact BBS 2022 District Report figures were sourced, used directly (Dhaka, Jashore). Other districts estimated from division-level 2022 census benchmarks (Daily Star, 2023) and 2011 census data adjusted for a plausible decade of improvement. MODERATE-LOW CONFIDENCE — recommend pulling exact figures from each BBS District Report PDF.</t>
  </si>
  <si>
    <t>No single public district-wise branch-count table was retrievable via web search in this session. Score is a proxy based on divisional-seat status, Bangladesh Bank physical branch presence, EPZ/industrial scale, and population size. LOW CONFIDENCE — recommend Bangladesh Bank 'Scheduled Banks Statistics' quarterly bulletin (district-wise branch tables) for exact figures.</t>
  </si>
  <si>
    <t>No single public district-wise coverage table was retrievable via web search in this session. Score is a proxy based on divisional urban/rural mix and BBS 2022 Urban Area Report division-level internet/mobile use rates. LOW CONFIDENCE — recommend BTRC district-wise subscriber/coverage data.</t>
  </si>
  <si>
    <t>Based on documented count and scale of operating industries/factories per district (see Source Log).</t>
  </si>
  <si>
    <t>Based on documented recent (2023-2026) investment announcements, project financing, and government/BEZA/BEPZA statements (see Source Log).</t>
  </si>
  <si>
    <t>Complete Reference List</t>
  </si>
  <si>
    <t>#</t>
  </si>
  <si>
    <t>Bangladesh Bureau of Statistics (BBS), 'Population and Housing Census 2022: Urban Area Report', Statistics and Informatics Division, Ministry of Planning, January 2025.</t>
  </si>
  <si>
    <t>Bangladesh Bureau of Statistics (BBS), District Reports (individual district PDFs), Population and Housing Census 2022, published June 2024.</t>
  </si>
  <si>
    <t>The Daily Star, "Bangladesh's literacy rate now 74.66%", 2022.</t>
  </si>
  <si>
    <t>The Daily Star, "How Chattogram built its economic legacy", 16 May 2025.</t>
  </si>
  <si>
    <t>The Daily Star, "Narsingdi's clout as industrial hub grows", 2023.</t>
  </si>
  <si>
    <t>The Daily Star, "Bepza secures land to set up Jashore EPZ", 24 March 2024.</t>
  </si>
  <si>
    <t>The Daily Star, "Rajshahi to get economic zone by 2019".</t>
  </si>
  <si>
    <t>The Daily Star, "Red tape delays construction of second economic zone in Rangpur", 18 March 2024.</t>
  </si>
  <si>
    <t>The Business Standard (TBS), "With favourable environment, export industries still missing in Cumilla", 7 August 2022.</t>
  </si>
  <si>
    <t>The Business Standard (TBS), "Cox's Bazar: An economic game-changer in the making", 4 July 2021.</t>
  </si>
  <si>
    <t>The Business Standard (TBS), "Unavailability of fuel major obstacle to industrialisation in Khulna region", 4 February 2022.</t>
  </si>
  <si>
    <t>The Business Standard (TBS), "One year of Padma Bridge: A new dawn begins to shine", 26 June 2023.</t>
  </si>
  <si>
    <t>BSS News, "Cumilla EPZ provides employment to 50,000 people, records in exports", 4 October 2025.</t>
  </si>
  <si>
    <t>BSS News, "Tk 5,971.40 cr earned by exporting jute, shrimp, other goods from Khulna in 2024-25 fiscal: EPB", 10 July 2025.</t>
  </si>
  <si>
    <t>BSS News, "Rajshahi's Silk Industry: Heritage, Potential and New Horizons for Economic Growth", 28 February 2026.</t>
  </si>
  <si>
    <t>BSS News, "Lutfey Siddiqi visits National Special Economic Zone" (Feni/Mirsarai), 23 August 2025.</t>
  </si>
  <si>
    <t>Bangladesh Export Processing Zones Authority (BEPZA), official zone pages: Chattogram EPZ, Karnaphuli EPZ, Cumilla EPZ (bepza.gov.bd).</t>
  </si>
  <si>
    <t>Bangladesh Economic Zones Authority (BEZA), 'Feni Economic Zone' (beza.gov.bd / new.beza.gov.bd).</t>
  </si>
  <si>
    <t>Industrial Engineers Association of Bangladesh (IEAB), 'Gazipur-Tangail Industrial Division' and 'Barishal Division' (ieabbd.org).</t>
  </si>
  <si>
    <t>The Financial Express, "Hamid Group to set up economic zone in Mymensingh", 27 December 2018.</t>
  </si>
  <si>
    <t>The Financial Express, "Padma Bridge to initiate industrial revolution in 21 districts, experts say", 12 December 2020.</t>
  </si>
  <si>
    <t>The Financial Express / Dhaka Tribune, "Long-awaited airport set to launch in Bogra", 2026.</t>
  </si>
  <si>
    <t>The Daily Asian Age, "Barisal Division at a Crossroads: Industrialisation, Port Infrastructure and Internal Migration", 28 February 2026.</t>
  </si>
  <si>
    <t>Jagonews24, "Govt plans Maheshkhali-Matarbari to be Bangladesh's next commercial hub", 5 June 2026.</t>
  </si>
  <si>
    <t>Grokipedia district and topic pages (cross-checked against underlying BBS/Bangladesh Bank/BEPZA/BEZA primary citations embedded in each page): Dhaka District, Gazipur, Narayanganj, Narayanganj District, Comilla, Munshiganj District, Tangail District, Natore District, Rangpur District, Sylhet District, Faridpur, Karnaphuli Export Processing Zone, Electricity Sector in Bangladesh, Port of Payra.</t>
  </si>
  <si>
    <t>Wikipedia: Economy of Dhaka; Rajshahi District; Jessore District; Jessore; Munshiganj District; Narsingdi District; Economy of Sylhet Division; Port of Payra; Bangladesh Rural Electrification Board; Electricity sector in Bangladesh; Bangladesh Bank; 2022 Bangladeshi census.</t>
  </si>
  <si>
    <t>ScienceDirect, "City profile: Narayanganj, Bangladesh", 2016 (citing BBS 2013 and BEPZA 2015 data).</t>
  </si>
  <si>
    <t>ResearchGate, "Industrialization in Rajshahi District: Prospects and Challenges", Dr. Sushanta Roy Chowdhary, 2024.</t>
  </si>
  <si>
    <t>Invest Bangladesh, "Matarbari Deep Sea Port: Unlocking Bangladesh's Economic Potential", 1 July 2024.</t>
  </si>
  <si>
    <t>Inspira Advisory and Consulting Ltd., "Economic Dynamics of Cox's Bazar: Sectoral Insights of the Region", 27 July 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</si>
</sst>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9" x14ac:knownFonts="1">
    <font>
      <sz val="11"/>
      <color theme="1"/>
      <name val="Calibri"/>
      <family val="2"/>
      <charset val="1"/>
    </font>
    <font>
      <b/>
      <sz val="18"/>
      <color rgb="FF1F3864"/>
      <name val="Arial"/>
      <charset val="1"/>
    </font>
    <font>
      <i/>
      <sz val="12"/>
      <color rgb="FF595959"/>
      <name val="Arial"/>
      <charset val="1"/>
    </font>
    <font>
      <b/>
      <sz val="12"/>
      <name val="Arial"/>
      <charset val="1"/>
    </font>
    <font>
      <sz val="10"/>
      <name val="Arial"/>
      <charset val="1"/>
    </font>
    <font>
      <i/>
      <sz val="10"/>
      <color rgb="FF8C8C8C"/>
      <name val="Arial"/>
      <charset val="1"/>
    </font>
    <font>
      <i/>
      <sz val="9"/>
      <color rgb="FF595959"/>
      <name val="Arial"/>
      <charset val="1"/>
    </font>
    <font>
      <b/>
      <sz val="10"/>
      <name val="Arial"/>
      <charset val="1"/>
    </font>
    <font>
      <b/>
      <sz val="16"/>
      <color rgb="FF1F3864"/>
      <name val="Arial"/>
      <charset val="1"/>
    </font>
    <font>
      <b/>
      <sz val="10"/>
      <color rgb="FFFFFFFF"/>
      <name val="Arial"/>
      <charset val="1"/>
    </font>
    <font>
      <sz val="10"/>
      <color rgb="FF0000FF"/>
      <name val="Arial"/>
      <charset val="1"/>
    </font>
    <font>
      <b/>
      <sz val="11"/>
      <name val="Arial"/>
      <charset val="1"/>
    </font>
    <font>
      <b/>
      <sz val="10"/>
      <color rgb="FF000000"/>
      <name val="Arial"/>
      <charset val="1"/>
    </font>
    <font>
      <i/>
      <sz val="8"/>
      <color rgb="FF8C8C8C"/>
      <name val="Arial"/>
      <charset val="1"/>
    </font>
    <font>
      <b/>
      <sz val="14"/>
      <color rgb="FF1F3864"/>
      <name val="Arial"/>
      <charset val="1"/>
    </font>
    <font>
      <sz val="9"/>
      <color rgb="FF1F3864"/>
      <name val="Arial"/>
      <charset val="1"/>
    </font>
    <font>
      <sz val="10"/>
      <name val="Courier New"/>
      <charset val="1"/>
    </font>
    <font>
      <b/>
      <sz val="13"/>
      <color rgb="FF1F3864"/>
      <name val="Arial"/>
      <charset val="1"/>
    </font>
    <font>
      <b/>
      <sz val="9"/>
      <name val="Arial"/>
      <charset val="1"/>
    </font>
  </fonts>
  <fills count="3">
    <fill>
      <patternFill patternType="none"/>
    </fill>
    <fill>
      <patternFill patternType="gray125"/>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4">
    <xf numFmtId="0" fontId="0" fillId="0" borderId="0" xfId="0"/>
    <xf numFmtId="0" fontId="16" fillId="0" borderId="0" xfId="0" applyFont="1" applyBorder="1" applyAlignment="1">
      <alignment vertical="top" wrapText="1"/>
    </xf>
    <xf numFmtId="0" fontId="4" fillId="0" borderId="0" xfId="0" applyFont="1" applyBorder="1" applyAlignment="1">
      <alignment vertical="top" wrapText="1"/>
    </xf>
    <xf numFmtId="0" fontId="6" fillId="0" borderId="0" xfId="0" applyFont="1" applyBorder="1" applyAlignment="1">
      <alignment vertical="top" wrapText="1"/>
    </xf>
    <xf numFmtId="0" fontId="0" fillId="0" borderId="0" xfId="0" applyAlignment="1"/>
    <xf numFmtId="0" fontId="1" fillId="0" borderId="0" xfId="0" applyFont="1" applyAlignment="1"/>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7" fillId="0" borderId="0" xfId="0" applyFont="1" applyAlignment="1"/>
    <xf numFmtId="0" fontId="8" fillId="0" borderId="0" xfId="0" applyFont="1" applyAlignment="1"/>
    <xf numFmtId="0" fontId="9" fillId="2" borderId="1" xfId="0" applyFont="1" applyFill="1" applyBorder="1" applyAlignment="1">
      <alignment horizontal="center" vertical="center"/>
    </xf>
    <xf numFmtId="0" fontId="4" fillId="0" borderId="1" xfId="0" applyFont="1" applyBorder="1" applyAlignment="1">
      <alignment vertical="top" wrapText="1"/>
    </xf>
    <xf numFmtId="9" fontId="10" fillId="0" borderId="1" xfId="0" applyNumberFormat="1" applyFont="1" applyBorder="1" applyAlignment="1">
      <alignment horizontal="center" vertical="center"/>
    </xf>
    <xf numFmtId="0" fontId="11" fillId="0" borderId="0" xfId="0" applyFont="1" applyAlignment="1"/>
    <xf numFmtId="9" fontId="12" fillId="0" borderId="1" xfId="0" applyNumberFormat="1" applyFont="1" applyBorder="1" applyAlignment="1"/>
    <xf numFmtId="0" fontId="13" fillId="0" borderId="0" xfId="0" applyFont="1" applyAlignment="1"/>
    <xf numFmtId="0" fontId="14" fillId="0" borderId="0" xfId="0" applyFont="1" applyAlignment="1"/>
    <xf numFmtId="0" fontId="9" fillId="2" borderId="1" xfId="0" applyFont="1" applyFill="1" applyBorder="1" applyAlignment="1">
      <alignment horizontal="center" vertical="center" wrapText="1"/>
    </xf>
    <xf numFmtId="49" fontId="15" fillId="0" borderId="1" xfId="0" applyNumberFormat="1" applyFont="1" applyBorder="1" applyAlignment="1">
      <alignment vertical="top" wrapText="1"/>
    </xf>
    <xf numFmtId="0" fontId="17" fillId="0" borderId="0" xfId="0" applyFont="1" applyAlignment="1"/>
    <xf numFmtId="0" fontId="9" fillId="2" borderId="1" xfId="0" applyFont="1" applyFill="1" applyBorder="1" applyAlignment="1"/>
    <xf numFmtId="0" fontId="11" fillId="0" borderId="1" xfId="0" applyFont="1" applyBorder="1" applyAlignment="1"/>
    <xf numFmtId="0" fontId="10" fillId="0" borderId="1" xfId="0" applyFont="1" applyBorder="1" applyAlignment="1">
      <alignment horizontal="center" vertical="center"/>
    </xf>
    <xf numFmtId="0" fontId="11" fillId="0" borderId="1" xfId="0" applyFont="1" applyBorder="1" applyAlignment="1">
      <alignment horizontal="center" vertical="center"/>
    </xf>
    <xf numFmtId="0" fontId="4" fillId="0" borderId="1" xfId="0" applyFont="1" applyBorder="1" applyAlignment="1"/>
    <xf numFmtId="2" fontId="0" fillId="0" borderId="1" xfId="0" applyNumberFormat="1" applyBorder="1" applyAlignment="1">
      <alignment horizontal="center" vertical="center"/>
    </xf>
    <xf numFmtId="2" fontId="11" fillId="0" borderId="1" xfId="0" applyNumberFormat="1" applyFont="1" applyBorder="1" applyAlignment="1">
      <alignment horizontal="center" vertical="center"/>
    </xf>
    <xf numFmtId="0" fontId="18" fillId="0" borderId="1" xfId="0" applyFont="1" applyBorder="1" applyAlignment="1">
      <alignment vertical="top" wrapText="1"/>
    </xf>
    <xf numFmtId="164" fontId="10" fillId="0" borderId="1" xfId="0" applyNumberFormat="1" applyFont="1" applyBorder="1" applyAlignment="1">
      <alignment horizontal="center" vertical="center"/>
    </xf>
    <xf numFmtId="0" fontId="11" fillId="0" borderId="1" xfId="0" applyFont="1" applyBorder="1" applyAlignment="1">
      <alignment vertical="top" wrapText="1"/>
    </xf>
    <xf numFmtId="0" fontId="9" fillId="2" borderId="0" xfId="0" applyFont="1" applyFill="1" applyAlignment="1"/>
    <xf numFmtId="0" fontId="4"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8C8C8C"/>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B23"/>
  <sheetViews>
    <sheetView showGridLines="0" zoomScale="70" zoomScaleNormal="70" workbookViewId="0"/>
  </sheetViews>
  <sheetFormatPr defaultColWidth="8.6328125" defaultRowHeight="14.5" x14ac:dyDescent="0.35"/>
  <cols>
    <col min="1" max="1" width="3" style="4" customWidth="1"/>
    <col min="2" max="2" width="90" style="4" customWidth="1"/>
  </cols>
  <sheetData>
    <row r="2" spans="2:2" ht="21.75" customHeight="1" x14ac:dyDescent="0.5">
      <c r="B2" s="5" t="s">
        <v>0</v>
      </c>
    </row>
    <row r="3" spans="2:2" ht="15" customHeight="1" x14ac:dyDescent="0.35">
      <c r="B3" s="6" t="s">
        <v>1</v>
      </c>
    </row>
    <row r="5" spans="2:2" ht="15" customHeight="1" x14ac:dyDescent="0.35">
      <c r="B5" s="7" t="s">
        <v>2</v>
      </c>
    </row>
    <row r="6" spans="2:2" ht="15" customHeight="1" x14ac:dyDescent="0.35">
      <c r="B6" s="8" t="s">
        <v>3</v>
      </c>
    </row>
    <row r="7" spans="2:2" ht="15" customHeight="1" x14ac:dyDescent="0.35">
      <c r="B7" s="8" t="s">
        <v>4</v>
      </c>
    </row>
    <row r="8" spans="2:2" ht="15" customHeight="1" x14ac:dyDescent="0.35">
      <c r="B8" s="8" t="s">
        <v>5</v>
      </c>
    </row>
    <row r="10" spans="2:2" ht="15" customHeight="1" x14ac:dyDescent="0.35">
      <c r="B10" s="9" t="s">
        <v>6</v>
      </c>
    </row>
    <row r="12" spans="2:2" ht="15" customHeight="1" x14ac:dyDescent="0.35">
      <c r="B12" s="3" t="s">
        <v>7</v>
      </c>
    </row>
    <row r="13" spans="2:2" ht="15" customHeight="1" x14ac:dyDescent="0.35">
      <c r="B13" s="3"/>
    </row>
    <row r="15" spans="2:2" ht="15" customHeight="1" x14ac:dyDescent="0.35">
      <c r="B15" s="10" t="s">
        <v>8</v>
      </c>
    </row>
    <row r="16" spans="2:2" ht="15" customHeight="1" x14ac:dyDescent="0.35">
      <c r="B16" s="8" t="s">
        <v>9</v>
      </c>
    </row>
    <row r="17" spans="2:2" ht="15" customHeight="1" x14ac:dyDescent="0.35">
      <c r="B17" s="8" t="s">
        <v>10</v>
      </c>
    </row>
    <row r="18" spans="2:2" ht="15" customHeight="1" x14ac:dyDescent="0.35">
      <c r="B18" s="8" t="s">
        <v>11</v>
      </c>
    </row>
    <row r="19" spans="2:2" ht="15" customHeight="1" x14ac:dyDescent="0.35">
      <c r="B19" s="8" t="s">
        <v>12</v>
      </c>
    </row>
    <row r="20" spans="2:2" ht="15" customHeight="1" x14ac:dyDescent="0.35">
      <c r="B20" s="8" t="s">
        <v>13</v>
      </c>
    </row>
    <row r="21" spans="2:2" ht="15" customHeight="1" x14ac:dyDescent="0.35">
      <c r="B21" s="8" t="s">
        <v>14</v>
      </c>
    </row>
    <row r="22" spans="2:2" ht="15" customHeight="1" x14ac:dyDescent="0.35">
      <c r="B22" s="8" t="s">
        <v>15</v>
      </c>
    </row>
    <row r="23" spans="2:2" ht="15" customHeight="1" x14ac:dyDescent="0.35">
      <c r="B23" s="8" t="s">
        <v>16</v>
      </c>
    </row>
  </sheetData>
  <sheetProtection password="CCC9" sheet="1" sort="0" autoFilter="0"/>
  <mergeCells count="1">
    <mergeCell ref="B12:B13"/>
  </mergeCells>
  <pageMargins left="0.4" right="0.4" top="0.6" bottom="0.6" header="0.5" footer="0.5"/>
  <pageSetup fitToHeight="0" orientation="landscape" horizontalDpi="300" verticalDpi="300"/>
  <headerFooter>
    <oddHeader>&amp;L&amp;8 Bangladesh District Investment Attractiveness Index (BDIAI)&amp;R&amp;8 Cover</oddHeader>
    <oddFooter>&amp;L&amp;7 © 2026 Ahmed Safwan Sajid. All Rights Reserved. Intellectual Property of the Author.&amp;R&amp;8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D33"/>
  <sheetViews>
    <sheetView showGridLines="0" zoomScale="60" zoomScaleNormal="60" workbookViewId="0"/>
  </sheetViews>
  <sheetFormatPr defaultColWidth="8.6328125" defaultRowHeight="14.5" x14ac:dyDescent="0.35"/>
  <cols>
    <col min="1" max="1" width="3" style="4" customWidth="1"/>
    <col min="2" max="2" width="42" style="4" customWidth="1"/>
    <col min="3" max="3" width="62" style="4" customWidth="1"/>
    <col min="4" max="4" width="14" style="4" customWidth="1"/>
  </cols>
  <sheetData>
    <row r="2" spans="2:4" ht="19.5" customHeight="1" x14ac:dyDescent="0.4">
      <c r="B2" s="11" t="s">
        <v>0</v>
      </c>
    </row>
    <row r="3" spans="2:4" ht="15" customHeight="1" x14ac:dyDescent="0.35">
      <c r="B3" s="6" t="s">
        <v>17</v>
      </c>
    </row>
    <row r="5" spans="2:4" ht="15" customHeight="1" x14ac:dyDescent="0.35">
      <c r="B5" s="10" t="s">
        <v>18</v>
      </c>
    </row>
    <row r="6" spans="2:4" ht="30" customHeight="1" x14ac:dyDescent="0.35">
      <c r="B6" s="2" t="s">
        <v>19</v>
      </c>
      <c r="C6" s="2"/>
      <c r="D6" s="2"/>
    </row>
    <row r="8" spans="2:4" ht="15" customHeight="1" x14ac:dyDescent="0.35">
      <c r="B8" s="10" t="s">
        <v>20</v>
      </c>
    </row>
    <row r="9" spans="2:4" ht="15" customHeight="1" x14ac:dyDescent="0.35">
      <c r="B9" s="12" t="s">
        <v>21</v>
      </c>
      <c r="C9" s="12" t="s">
        <v>22</v>
      </c>
      <c r="D9" s="12" t="s">
        <v>23</v>
      </c>
    </row>
    <row r="10" spans="2:4" ht="23.25" customHeight="1" x14ac:dyDescent="0.35">
      <c r="B10" s="13" t="s">
        <v>24</v>
      </c>
      <c r="C10" s="13" t="s">
        <v>25</v>
      </c>
      <c r="D10" s="14">
        <v>0.15</v>
      </c>
    </row>
    <row r="11" spans="2:4" ht="15" customHeight="1" x14ac:dyDescent="0.35">
      <c r="B11" s="13" t="s">
        <v>26</v>
      </c>
      <c r="C11" s="13" t="s">
        <v>27</v>
      </c>
      <c r="D11" s="14">
        <v>0.15</v>
      </c>
    </row>
    <row r="12" spans="2:4" ht="15" customHeight="1" x14ac:dyDescent="0.35">
      <c r="B12" s="13" t="s">
        <v>28</v>
      </c>
      <c r="C12" s="13" t="s">
        <v>29</v>
      </c>
      <c r="D12" s="14">
        <v>0.15</v>
      </c>
    </row>
    <row r="13" spans="2:4" ht="15" customHeight="1" x14ac:dyDescent="0.35">
      <c r="B13" s="13" t="s">
        <v>30</v>
      </c>
      <c r="C13" s="13" t="s">
        <v>31</v>
      </c>
      <c r="D13" s="14">
        <v>0.12</v>
      </c>
    </row>
    <row r="14" spans="2:4" ht="15" customHeight="1" x14ac:dyDescent="0.35">
      <c r="B14" s="13" t="s">
        <v>32</v>
      </c>
      <c r="C14" s="13" t="s">
        <v>33</v>
      </c>
      <c r="D14" s="14">
        <v>0.08</v>
      </c>
    </row>
    <row r="15" spans="2:4" ht="15" customHeight="1" x14ac:dyDescent="0.35">
      <c r="B15" s="13" t="s">
        <v>34</v>
      </c>
      <c r="C15" s="13" t="s">
        <v>35</v>
      </c>
      <c r="D15" s="14">
        <v>0.1</v>
      </c>
    </row>
    <row r="16" spans="2:4" ht="15" customHeight="1" x14ac:dyDescent="0.35">
      <c r="B16" s="13" t="s">
        <v>36</v>
      </c>
      <c r="C16" s="13" t="s">
        <v>37</v>
      </c>
      <c r="D16" s="14">
        <v>0.08</v>
      </c>
    </row>
    <row r="17" spans="2:4" ht="15" customHeight="1" x14ac:dyDescent="0.35">
      <c r="B17" s="13" t="s">
        <v>38</v>
      </c>
      <c r="C17" s="13" t="s">
        <v>39</v>
      </c>
      <c r="D17" s="14">
        <v>0.1</v>
      </c>
    </row>
    <row r="18" spans="2:4" ht="15" customHeight="1" x14ac:dyDescent="0.35">
      <c r="B18" s="13" t="s">
        <v>40</v>
      </c>
      <c r="C18" s="13" t="s">
        <v>41</v>
      </c>
      <c r="D18" s="14">
        <v>7.0000000000000007E-2</v>
      </c>
    </row>
    <row r="19" spans="2:4" ht="15" customHeight="1" x14ac:dyDescent="0.35">
      <c r="B19" s="15" t="s">
        <v>42</v>
      </c>
      <c r="D19" s="16">
        <f>SUM(D10:D18)</f>
        <v>0.99999999999999978</v>
      </c>
    </row>
    <row r="21" spans="2:4" ht="15" customHeight="1" x14ac:dyDescent="0.35">
      <c r="B21" s="10" t="s">
        <v>43</v>
      </c>
    </row>
    <row r="22" spans="2:4" ht="18" customHeight="1" x14ac:dyDescent="0.35">
      <c r="B22" s="2" t="s">
        <v>44</v>
      </c>
      <c r="C22" s="2"/>
      <c r="D22" s="2"/>
    </row>
    <row r="23" spans="2:4" ht="18" customHeight="1" x14ac:dyDescent="0.35">
      <c r="B23" s="2"/>
      <c r="C23" s="2"/>
      <c r="D23" s="2"/>
    </row>
    <row r="24" spans="2:4" ht="18" customHeight="1" x14ac:dyDescent="0.35">
      <c r="B24" s="2"/>
      <c r="C24" s="2"/>
      <c r="D24" s="2"/>
    </row>
    <row r="25" spans="2:4" ht="18" customHeight="1" x14ac:dyDescent="0.35">
      <c r="B25" s="2"/>
      <c r="C25" s="2"/>
      <c r="D25" s="2"/>
    </row>
    <row r="26" spans="2:4" ht="18" customHeight="1" x14ac:dyDescent="0.35">
      <c r="B26" s="2"/>
      <c r="C26" s="2"/>
      <c r="D26" s="2"/>
    </row>
    <row r="27" spans="2:4" ht="18" customHeight="1" x14ac:dyDescent="0.35">
      <c r="B27" s="2"/>
      <c r="C27" s="2"/>
      <c r="D27" s="2"/>
    </row>
    <row r="28" spans="2:4" ht="18" customHeight="1" x14ac:dyDescent="0.35">
      <c r="B28" s="2"/>
      <c r="C28" s="2"/>
      <c r="D28" s="2"/>
    </row>
    <row r="29" spans="2:4" ht="18" customHeight="1" x14ac:dyDescent="0.35">
      <c r="B29" s="2"/>
      <c r="C29" s="2"/>
      <c r="D29" s="2"/>
    </row>
    <row r="30" spans="2:4" ht="18" customHeight="1" x14ac:dyDescent="0.35">
      <c r="B30" s="2"/>
      <c r="C30" s="2"/>
      <c r="D30" s="2"/>
    </row>
    <row r="31" spans="2:4" ht="18" customHeight="1" x14ac:dyDescent="0.35">
      <c r="B31" s="2"/>
      <c r="C31" s="2"/>
      <c r="D31" s="2"/>
    </row>
    <row r="33" spans="2:2" ht="15" customHeight="1" x14ac:dyDescent="0.35">
      <c r="B33" s="17" t="s">
        <v>6</v>
      </c>
    </row>
  </sheetData>
  <sheetProtection password="CCC9" sheet="1" sort="0" autoFilter="0"/>
  <mergeCells count="2">
    <mergeCell ref="B6:D6"/>
    <mergeCell ref="B22:D31"/>
  </mergeCells>
  <pageMargins left="0.4" right="0.4" top="0.6" bottom="0.6" header="0.5" footer="0.5"/>
  <pageSetup fitToHeight="0" orientation="landscape" horizontalDpi="300" verticalDpi="300"/>
  <headerFooter>
    <oddHeader>&amp;L&amp;8 Bangladesh District Investment Attractiveness Index (BDIAI)&amp;R&amp;8 Methodology</oddHeader>
    <oddFooter>&amp;L&amp;7 © 2026 Ahmed Safwan Sajid. All Rights Reserved. Intellectual Property of the Author.&amp;R&amp;8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D26"/>
  <sheetViews>
    <sheetView showGridLines="0" zoomScale="30" zoomScaleNormal="30" workbookViewId="0"/>
  </sheetViews>
  <sheetFormatPr defaultColWidth="8.6328125" defaultRowHeight="14.5" x14ac:dyDescent="0.35"/>
  <cols>
    <col min="1" max="1" width="3" style="4" customWidth="1"/>
    <col min="2" max="2" width="30" style="4" customWidth="1"/>
    <col min="3" max="4" width="45" style="4" customWidth="1"/>
  </cols>
  <sheetData>
    <row r="2" spans="2:4" ht="17.25" customHeight="1" x14ac:dyDescent="0.4">
      <c r="B2" s="18" t="s">
        <v>45</v>
      </c>
    </row>
    <row r="4" spans="2:4" ht="19.5" customHeight="1" x14ac:dyDescent="0.35">
      <c r="B4" s="19" t="s">
        <v>46</v>
      </c>
      <c r="C4" s="19" t="s">
        <v>47</v>
      </c>
      <c r="D4" s="19" t="s">
        <v>48</v>
      </c>
    </row>
    <row r="5" spans="2:4" ht="129.75" customHeight="1" x14ac:dyDescent="0.35">
      <c r="B5" s="13" t="s">
        <v>49</v>
      </c>
      <c r="C5" s="20" t="s">
        <v>50</v>
      </c>
      <c r="D5" s="13" t="s">
        <v>51</v>
      </c>
    </row>
    <row r="6" spans="2:4" ht="129.75" customHeight="1" x14ac:dyDescent="0.35">
      <c r="B6" s="13" t="s">
        <v>52</v>
      </c>
      <c r="C6" s="20" t="s">
        <v>53</v>
      </c>
      <c r="D6" s="13" t="s">
        <v>54</v>
      </c>
    </row>
    <row r="7" spans="2:4" ht="129.75" customHeight="1" x14ac:dyDescent="0.35">
      <c r="B7" s="13" t="s">
        <v>55</v>
      </c>
      <c r="C7" s="20" t="s">
        <v>56</v>
      </c>
      <c r="D7" s="13" t="s">
        <v>57</v>
      </c>
    </row>
    <row r="8" spans="2:4" ht="129.75" customHeight="1" x14ac:dyDescent="0.35">
      <c r="B8" s="13" t="s">
        <v>58</v>
      </c>
      <c r="C8" s="20" t="s">
        <v>59</v>
      </c>
      <c r="D8" s="13" t="s">
        <v>60</v>
      </c>
    </row>
    <row r="10" spans="2:4" ht="15" customHeight="1" x14ac:dyDescent="0.35">
      <c r="B10" s="10" t="s">
        <v>61</v>
      </c>
    </row>
    <row r="11" spans="2:4" ht="15.75" customHeight="1" x14ac:dyDescent="0.35">
      <c r="B11" s="1" t="s">
        <v>62</v>
      </c>
      <c r="C11" s="1"/>
      <c r="D11" s="1"/>
    </row>
    <row r="12" spans="2:4" ht="15.75" customHeight="1" x14ac:dyDescent="0.35">
      <c r="B12" s="1"/>
      <c r="C12" s="1"/>
      <c r="D12" s="1"/>
    </row>
    <row r="13" spans="2:4" ht="15.75" customHeight="1" x14ac:dyDescent="0.35">
      <c r="B13" s="1"/>
      <c r="C13" s="1"/>
      <c r="D13" s="1"/>
    </row>
    <row r="14" spans="2:4" ht="15.75" customHeight="1" x14ac:dyDescent="0.35">
      <c r="B14" s="1"/>
      <c r="C14" s="1"/>
      <c r="D14" s="1"/>
    </row>
    <row r="15" spans="2:4" ht="15.75" customHeight="1" x14ac:dyDescent="0.35">
      <c r="B15" s="1"/>
      <c r="C15" s="1"/>
      <c r="D15" s="1"/>
    </row>
    <row r="16" spans="2:4" ht="15.75" customHeight="1" x14ac:dyDescent="0.35">
      <c r="B16" s="1"/>
      <c r="C16" s="1"/>
      <c r="D16" s="1"/>
    </row>
    <row r="17" spans="2:4" ht="15.75" customHeight="1" x14ac:dyDescent="0.35">
      <c r="B17" s="1"/>
      <c r="C17" s="1"/>
      <c r="D17" s="1"/>
    </row>
    <row r="18" spans="2:4" ht="15.75" customHeight="1" x14ac:dyDescent="0.35">
      <c r="B18" s="1"/>
      <c r="C18" s="1"/>
      <c r="D18" s="1"/>
    </row>
    <row r="19" spans="2:4" ht="15.75" customHeight="1" x14ac:dyDescent="0.35">
      <c r="B19" s="1"/>
      <c r="C19" s="1"/>
      <c r="D19" s="1"/>
    </row>
    <row r="20" spans="2:4" ht="15.75" customHeight="1" x14ac:dyDescent="0.35">
      <c r="B20" s="1"/>
      <c r="C20" s="1"/>
      <c r="D20" s="1"/>
    </row>
    <row r="21" spans="2:4" ht="15.75" customHeight="1" x14ac:dyDescent="0.35">
      <c r="B21" s="1"/>
      <c r="C21" s="1"/>
      <c r="D21" s="1"/>
    </row>
    <row r="22" spans="2:4" ht="15.75" customHeight="1" x14ac:dyDescent="0.35">
      <c r="B22" s="1"/>
      <c r="C22" s="1"/>
      <c r="D22" s="1"/>
    </row>
    <row r="23" spans="2:4" ht="15.75" customHeight="1" x14ac:dyDescent="0.35">
      <c r="B23" s="1"/>
      <c r="C23" s="1"/>
      <c r="D23" s="1"/>
    </row>
    <row r="24" spans="2:4" ht="15.75" customHeight="1" x14ac:dyDescent="0.35">
      <c r="B24" s="1"/>
      <c r="C24" s="1"/>
      <c r="D24" s="1"/>
    </row>
    <row r="26" spans="2:4" ht="15" customHeight="1" x14ac:dyDescent="0.35">
      <c r="B26" s="17" t="s">
        <v>6</v>
      </c>
    </row>
  </sheetData>
  <sheetProtection password="CCC9" sheet="1" sort="0" autoFilter="0"/>
  <mergeCells count="1">
    <mergeCell ref="B11:D24"/>
  </mergeCells>
  <pageMargins left="0.4" right="0.4" top="0.6" bottom="0.6" header="0.5" footer="0.5"/>
  <pageSetup fitToHeight="0" orientation="landscape" horizontalDpi="300" verticalDpi="300"/>
  <headerFooter>
    <oddHeader>&amp;L&amp;8 Bangladesh District Investment Attractiveness Index (BDIAI)&amp;R&amp;8 Formula Guide</oddHeader>
    <oddFooter>&amp;L&amp;7 © 2026 Ahmed Safwan Sajid. All Rights Reserved. Intellectual Property of the Author.&amp;R&amp;8 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6"/>
  <sheetViews>
    <sheetView showGridLines="0" zoomScale="70" zoomScaleNormal="70" workbookViewId="0">
      <pane xSplit="2" ySplit="2" topLeftCell="C3" activePane="bottomRight" state="frozen"/>
      <selection pane="topRight" activeCell="C1" sqref="C1"/>
      <selection pane="bottomLeft" activeCell="A3" sqref="A3"/>
      <selection pane="bottomRight"/>
    </sheetView>
  </sheetViews>
  <sheetFormatPr defaultColWidth="8.6328125" defaultRowHeight="14.5" x14ac:dyDescent="0.35"/>
  <cols>
    <col min="1" max="1" width="3" style="4" customWidth="1"/>
    <col min="2" max="2" width="16" style="4" customWidth="1"/>
    <col min="3" max="11" width="15" style="4" customWidth="1"/>
  </cols>
  <sheetData>
    <row r="1" spans="2:11" ht="15.75" customHeight="1" x14ac:dyDescent="0.35">
      <c r="B1" s="21" t="s">
        <v>63</v>
      </c>
    </row>
    <row r="2" spans="2:11" ht="30" customHeight="1" x14ac:dyDescent="0.35">
      <c r="B2" s="22" t="s">
        <v>64</v>
      </c>
      <c r="C2" s="19" t="s">
        <v>65</v>
      </c>
      <c r="D2" s="19" t="s">
        <v>66</v>
      </c>
      <c r="E2" s="19" t="s">
        <v>67</v>
      </c>
      <c r="F2" s="19" t="s">
        <v>68</v>
      </c>
      <c r="G2" s="19" t="s">
        <v>69</v>
      </c>
      <c r="H2" s="19" t="s">
        <v>70</v>
      </c>
      <c r="I2" s="19" t="s">
        <v>71</v>
      </c>
      <c r="J2" s="19" t="s">
        <v>72</v>
      </c>
      <c r="K2" s="19" t="s">
        <v>73</v>
      </c>
    </row>
    <row r="3" spans="2:11" ht="15" customHeight="1" x14ac:dyDescent="0.35">
      <c r="B3" s="23" t="s">
        <v>74</v>
      </c>
      <c r="C3" s="24">
        <v>95</v>
      </c>
      <c r="D3" s="24">
        <v>90</v>
      </c>
      <c r="E3" s="24">
        <v>85</v>
      </c>
      <c r="F3" s="24">
        <v>90</v>
      </c>
      <c r="G3" s="24">
        <v>90</v>
      </c>
      <c r="H3" s="24">
        <v>95</v>
      </c>
      <c r="I3" s="24">
        <v>90</v>
      </c>
      <c r="J3" s="24">
        <v>95</v>
      </c>
      <c r="K3" s="24">
        <v>70</v>
      </c>
    </row>
    <row r="4" spans="2:11" ht="15" customHeight="1" x14ac:dyDescent="0.35">
      <c r="B4" s="23" t="s">
        <v>75</v>
      </c>
      <c r="C4" s="24">
        <v>85</v>
      </c>
      <c r="D4" s="24">
        <v>85</v>
      </c>
      <c r="E4" s="24">
        <v>80</v>
      </c>
      <c r="F4" s="24">
        <v>95</v>
      </c>
      <c r="G4" s="24">
        <v>70</v>
      </c>
      <c r="H4" s="24">
        <v>75</v>
      </c>
      <c r="I4" s="24">
        <v>75</v>
      </c>
      <c r="J4" s="24">
        <v>95</v>
      </c>
      <c r="K4" s="24">
        <v>80</v>
      </c>
    </row>
    <row r="5" spans="2:11" ht="15" customHeight="1" x14ac:dyDescent="0.35">
      <c r="B5" s="23" t="s">
        <v>76</v>
      </c>
      <c r="C5" s="24">
        <v>80</v>
      </c>
      <c r="D5" s="24">
        <v>75</v>
      </c>
      <c r="E5" s="24">
        <v>75</v>
      </c>
      <c r="F5" s="24">
        <v>85</v>
      </c>
      <c r="G5" s="24">
        <v>65</v>
      </c>
      <c r="H5" s="24">
        <v>75</v>
      </c>
      <c r="I5" s="24">
        <v>75</v>
      </c>
      <c r="J5" s="24">
        <v>85</v>
      </c>
      <c r="K5" s="24">
        <v>60</v>
      </c>
    </row>
    <row r="6" spans="2:11" ht="15" customHeight="1" x14ac:dyDescent="0.35">
      <c r="B6" s="23" t="s">
        <v>77</v>
      </c>
      <c r="C6" s="24">
        <v>100</v>
      </c>
      <c r="D6" s="24">
        <v>100</v>
      </c>
      <c r="E6" s="24">
        <v>85</v>
      </c>
      <c r="F6" s="24">
        <v>85</v>
      </c>
      <c r="G6" s="24">
        <v>70</v>
      </c>
      <c r="H6" s="24">
        <v>90</v>
      </c>
      <c r="I6" s="24">
        <v>80</v>
      </c>
      <c r="J6" s="24">
        <v>95</v>
      </c>
      <c r="K6" s="24">
        <v>85</v>
      </c>
    </row>
    <row r="7" spans="2:11" ht="15" customHeight="1" x14ac:dyDescent="0.35">
      <c r="B7" s="23" t="s">
        <v>78</v>
      </c>
      <c r="C7" s="24">
        <v>55</v>
      </c>
      <c r="D7" s="24">
        <v>80</v>
      </c>
      <c r="E7" s="24">
        <v>70</v>
      </c>
      <c r="F7" s="24">
        <v>70</v>
      </c>
      <c r="G7" s="24">
        <v>60</v>
      </c>
      <c r="H7" s="24">
        <v>65</v>
      </c>
      <c r="I7" s="24">
        <v>65</v>
      </c>
      <c r="J7" s="24">
        <v>70</v>
      </c>
      <c r="K7" s="24">
        <v>65</v>
      </c>
    </row>
    <row r="8" spans="2:11" ht="15" customHeight="1" x14ac:dyDescent="0.35">
      <c r="B8" s="23" t="s">
        <v>79</v>
      </c>
      <c r="C8" s="24">
        <v>70</v>
      </c>
      <c r="D8" s="24">
        <v>90</v>
      </c>
      <c r="E8" s="24">
        <v>75</v>
      </c>
      <c r="F8" s="24">
        <v>60</v>
      </c>
      <c r="G8" s="24">
        <v>60</v>
      </c>
      <c r="H8" s="24">
        <v>60</v>
      </c>
      <c r="I8" s="24">
        <v>60</v>
      </c>
      <c r="J8" s="24">
        <v>55</v>
      </c>
      <c r="K8" s="24">
        <v>90</v>
      </c>
    </row>
    <row r="9" spans="2:11" ht="15" customHeight="1" x14ac:dyDescent="0.35">
      <c r="B9" s="23" t="s">
        <v>80</v>
      </c>
      <c r="C9" s="24">
        <v>75</v>
      </c>
      <c r="D9" s="24">
        <v>85</v>
      </c>
      <c r="E9" s="24">
        <v>70</v>
      </c>
      <c r="F9" s="24">
        <v>55</v>
      </c>
      <c r="G9" s="24">
        <v>50</v>
      </c>
      <c r="H9" s="24">
        <v>55</v>
      </c>
      <c r="I9" s="24">
        <v>55</v>
      </c>
      <c r="J9" s="24">
        <v>45</v>
      </c>
      <c r="K9" s="24">
        <v>90</v>
      </c>
    </row>
    <row r="10" spans="2:11" ht="15" customHeight="1" x14ac:dyDescent="0.35">
      <c r="B10" s="23" t="s">
        <v>81</v>
      </c>
      <c r="C10" s="24">
        <v>65</v>
      </c>
      <c r="D10" s="24">
        <v>30</v>
      </c>
      <c r="E10" s="24">
        <v>65</v>
      </c>
      <c r="F10" s="24">
        <v>65</v>
      </c>
      <c r="G10" s="24">
        <v>55</v>
      </c>
      <c r="H10" s="24">
        <v>55</v>
      </c>
      <c r="I10" s="24">
        <v>60</v>
      </c>
      <c r="J10" s="24">
        <v>65</v>
      </c>
      <c r="K10" s="24">
        <v>55</v>
      </c>
    </row>
    <row r="11" spans="2:11" ht="15" customHeight="1" x14ac:dyDescent="0.35">
      <c r="B11" s="23" t="s">
        <v>82</v>
      </c>
      <c r="C11" s="24">
        <v>70</v>
      </c>
      <c r="D11" s="24">
        <v>60</v>
      </c>
      <c r="E11" s="24">
        <v>70</v>
      </c>
      <c r="F11" s="24">
        <v>55</v>
      </c>
      <c r="G11" s="24">
        <v>60</v>
      </c>
      <c r="H11" s="24">
        <v>55</v>
      </c>
      <c r="I11" s="24">
        <v>60</v>
      </c>
      <c r="J11" s="24">
        <v>55</v>
      </c>
      <c r="K11" s="24">
        <v>75</v>
      </c>
    </row>
    <row r="12" spans="2:11" ht="15" customHeight="1" x14ac:dyDescent="0.35">
      <c r="B12" s="23" t="s">
        <v>83</v>
      </c>
      <c r="C12" s="24">
        <v>55</v>
      </c>
      <c r="D12" s="24">
        <v>25</v>
      </c>
      <c r="E12" s="24">
        <v>60</v>
      </c>
      <c r="F12" s="24">
        <v>55</v>
      </c>
      <c r="G12" s="24">
        <v>50</v>
      </c>
      <c r="H12" s="24">
        <v>55</v>
      </c>
      <c r="I12" s="24">
        <v>55</v>
      </c>
      <c r="J12" s="24">
        <v>50</v>
      </c>
      <c r="K12" s="24">
        <v>45</v>
      </c>
    </row>
    <row r="13" spans="2:11" ht="15" customHeight="1" x14ac:dyDescent="0.35">
      <c r="B13" s="23" t="s">
        <v>84</v>
      </c>
      <c r="C13" s="24">
        <v>50</v>
      </c>
      <c r="D13" s="24">
        <v>20</v>
      </c>
      <c r="E13" s="24">
        <v>55</v>
      </c>
      <c r="F13" s="24">
        <v>60</v>
      </c>
      <c r="G13" s="24">
        <v>60</v>
      </c>
      <c r="H13" s="24">
        <v>65</v>
      </c>
      <c r="I13" s="24">
        <v>60</v>
      </c>
      <c r="J13" s="24">
        <v>55</v>
      </c>
      <c r="K13" s="24">
        <v>60</v>
      </c>
    </row>
    <row r="14" spans="2:11" ht="15" customHeight="1" x14ac:dyDescent="0.35">
      <c r="B14" s="23" t="s">
        <v>85</v>
      </c>
      <c r="C14" s="24">
        <v>45</v>
      </c>
      <c r="D14" s="24">
        <v>25</v>
      </c>
      <c r="E14" s="24">
        <v>40</v>
      </c>
      <c r="F14" s="24">
        <v>55</v>
      </c>
      <c r="G14" s="24">
        <v>65</v>
      </c>
      <c r="H14" s="24">
        <v>70</v>
      </c>
      <c r="I14" s="24">
        <v>65</v>
      </c>
      <c r="J14" s="24">
        <v>40</v>
      </c>
      <c r="K14" s="24">
        <v>40</v>
      </c>
    </row>
    <row r="15" spans="2:11" ht="15" customHeight="1" x14ac:dyDescent="0.35">
      <c r="B15" s="23" t="s">
        <v>86</v>
      </c>
      <c r="C15" s="24">
        <v>35</v>
      </c>
      <c r="D15" s="24">
        <v>15</v>
      </c>
      <c r="E15" s="24">
        <v>45</v>
      </c>
      <c r="F15" s="24">
        <v>50</v>
      </c>
      <c r="G15" s="24">
        <v>55</v>
      </c>
      <c r="H15" s="24">
        <v>50</v>
      </c>
      <c r="I15" s="24">
        <v>50</v>
      </c>
      <c r="J15" s="24">
        <v>40</v>
      </c>
      <c r="K15" s="24">
        <v>35</v>
      </c>
    </row>
    <row r="16" spans="2:11" ht="15" customHeight="1" x14ac:dyDescent="0.35">
      <c r="B16" s="23" t="s">
        <v>87</v>
      </c>
      <c r="C16" s="24">
        <v>80</v>
      </c>
      <c r="D16" s="24">
        <v>65</v>
      </c>
      <c r="E16" s="24">
        <v>45</v>
      </c>
      <c r="F16" s="24">
        <v>65</v>
      </c>
      <c r="G16" s="24">
        <v>65</v>
      </c>
      <c r="H16" s="24">
        <v>75</v>
      </c>
      <c r="I16" s="24">
        <v>65</v>
      </c>
      <c r="J16" s="24">
        <v>65</v>
      </c>
      <c r="K16" s="24">
        <v>60</v>
      </c>
    </row>
    <row r="17" spans="2:11" ht="15" customHeight="1" x14ac:dyDescent="0.35">
      <c r="B17" s="23" t="s">
        <v>88</v>
      </c>
      <c r="C17" s="24">
        <v>75</v>
      </c>
      <c r="D17" s="24">
        <v>75</v>
      </c>
      <c r="E17" s="24">
        <v>55</v>
      </c>
      <c r="F17" s="24">
        <v>60</v>
      </c>
      <c r="G17" s="24">
        <v>68</v>
      </c>
      <c r="H17" s="24">
        <v>65</v>
      </c>
      <c r="I17" s="24">
        <v>65</v>
      </c>
      <c r="J17" s="24">
        <v>55</v>
      </c>
      <c r="K17" s="24">
        <v>80</v>
      </c>
    </row>
    <row r="18" spans="2:11" ht="15" customHeight="1" x14ac:dyDescent="0.35">
      <c r="B18" s="23" t="s">
        <v>89</v>
      </c>
      <c r="C18" s="24">
        <v>70</v>
      </c>
      <c r="D18" s="24">
        <v>35</v>
      </c>
      <c r="E18" s="24">
        <v>80</v>
      </c>
      <c r="F18" s="24">
        <v>50</v>
      </c>
      <c r="G18" s="24">
        <v>65</v>
      </c>
      <c r="H18" s="24">
        <v>80</v>
      </c>
      <c r="I18" s="24">
        <v>65</v>
      </c>
      <c r="J18" s="24">
        <v>60</v>
      </c>
      <c r="K18" s="24">
        <v>55</v>
      </c>
    </row>
    <row r="19" spans="2:11" ht="15" customHeight="1" x14ac:dyDescent="0.35">
      <c r="B19" s="23" t="s">
        <v>90</v>
      </c>
      <c r="C19" s="24">
        <v>60</v>
      </c>
      <c r="D19" s="24">
        <v>30</v>
      </c>
      <c r="E19" s="24">
        <v>55</v>
      </c>
      <c r="F19" s="24">
        <v>55</v>
      </c>
      <c r="G19" s="24">
        <v>60</v>
      </c>
      <c r="H19" s="24">
        <v>60</v>
      </c>
      <c r="I19" s="24">
        <v>55</v>
      </c>
      <c r="J19" s="24">
        <v>30</v>
      </c>
      <c r="K19" s="24">
        <v>65</v>
      </c>
    </row>
    <row r="20" spans="2:11" ht="15" customHeight="1" x14ac:dyDescent="0.35">
      <c r="B20" s="23" t="s">
        <v>91</v>
      </c>
      <c r="C20" s="24">
        <v>55</v>
      </c>
      <c r="D20" s="24">
        <v>70</v>
      </c>
      <c r="E20" s="24">
        <v>60</v>
      </c>
      <c r="F20" s="24">
        <v>65</v>
      </c>
      <c r="G20" s="24">
        <v>55</v>
      </c>
      <c r="H20" s="24">
        <v>60</v>
      </c>
      <c r="I20" s="24">
        <v>55</v>
      </c>
      <c r="J20" s="24">
        <v>60</v>
      </c>
      <c r="K20" s="24">
        <v>75</v>
      </c>
    </row>
    <row r="21" spans="2:11" ht="15" customHeight="1" x14ac:dyDescent="0.35">
      <c r="B21" s="23" t="s">
        <v>92</v>
      </c>
      <c r="C21" s="24">
        <v>40</v>
      </c>
      <c r="D21" s="24">
        <v>15</v>
      </c>
      <c r="E21" s="24">
        <v>40</v>
      </c>
      <c r="F21" s="24">
        <v>60</v>
      </c>
      <c r="G21" s="24">
        <v>55</v>
      </c>
      <c r="H21" s="24">
        <v>55</v>
      </c>
      <c r="I21" s="24">
        <v>50</v>
      </c>
      <c r="J21" s="24">
        <v>35</v>
      </c>
      <c r="K21" s="24">
        <v>30</v>
      </c>
    </row>
    <row r="22" spans="2:11" ht="15" customHeight="1" x14ac:dyDescent="0.35">
      <c r="B22" s="23" t="s">
        <v>93</v>
      </c>
      <c r="C22" s="24">
        <v>60</v>
      </c>
      <c r="D22" s="24">
        <v>30</v>
      </c>
      <c r="E22" s="24">
        <v>60</v>
      </c>
      <c r="F22" s="24">
        <v>55</v>
      </c>
      <c r="G22" s="24">
        <v>55</v>
      </c>
      <c r="H22" s="24">
        <v>55</v>
      </c>
      <c r="I22" s="24">
        <v>55</v>
      </c>
      <c r="J22" s="24">
        <v>45</v>
      </c>
      <c r="K22" s="24">
        <v>60</v>
      </c>
    </row>
    <row r="24" spans="2:11" ht="30" customHeight="1" x14ac:dyDescent="0.35">
      <c r="B24" s="3" t="s">
        <v>94</v>
      </c>
      <c r="C24" s="3"/>
      <c r="D24" s="3"/>
      <c r="E24" s="3"/>
      <c r="F24" s="3"/>
      <c r="G24" s="3"/>
      <c r="H24" s="3"/>
    </row>
    <row r="26" spans="2:11" ht="15" customHeight="1" x14ac:dyDescent="0.35">
      <c r="B26" s="17" t="s">
        <v>6</v>
      </c>
    </row>
  </sheetData>
  <sheetProtection password="CCC9" sheet="1" sort="0" autoFilter="0"/>
  <mergeCells count="1">
    <mergeCell ref="B24:H24"/>
  </mergeCells>
  <pageMargins left="0.4" right="0.4" top="0.6" bottom="0.6" header="0.5" footer="0.5"/>
  <pageSetup fitToHeight="0" orientation="landscape" horizontalDpi="300" verticalDpi="300"/>
  <headerFooter>
    <oddHeader>&amp;L&amp;8 Bangladesh District Investment Attractiveness Index (BDIAI)&amp;R&amp;8 Indicator Scores</oddHeader>
    <oddFooter>&amp;L&amp;7 © 2026 Ahmed Safwan Sajid. All Rights Reserved. Intellectual Property of the Author.&amp;R&amp;8 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6"/>
  <sheetViews>
    <sheetView showGridLines="0" zoomScale="60" zoomScaleNormal="60" workbookViewId="0">
      <selection activeCell="Q34" sqref="Q34"/>
    </sheetView>
  </sheetViews>
  <sheetFormatPr defaultColWidth="8.6328125" defaultRowHeight="14.5" x14ac:dyDescent="0.35"/>
  <cols>
    <col min="1" max="1" width="3" style="4" customWidth="1"/>
    <col min="2" max="2" width="6" style="4" customWidth="1"/>
    <col min="3" max="3" width="16" style="4" customWidth="1"/>
    <col min="4" max="4" width="14" style="4" customWidth="1"/>
    <col min="5" max="13" width="13" style="4" customWidth="1"/>
    <col min="14" max="14" width="16" style="4" customWidth="1"/>
  </cols>
  <sheetData>
    <row r="1" spans="2:14" ht="15.75" customHeight="1" x14ac:dyDescent="0.35">
      <c r="B1" s="21" t="s">
        <v>95</v>
      </c>
    </row>
    <row r="2" spans="2:14" ht="30" customHeight="1" x14ac:dyDescent="0.35">
      <c r="B2" s="19" t="s">
        <v>96</v>
      </c>
      <c r="C2" s="19" t="s">
        <v>64</v>
      </c>
      <c r="D2" s="19" t="s">
        <v>97</v>
      </c>
      <c r="E2" s="19" t="s">
        <v>65</v>
      </c>
      <c r="F2" s="19" t="s">
        <v>66</v>
      </c>
      <c r="G2" s="19" t="s">
        <v>67</v>
      </c>
      <c r="H2" s="19" t="s">
        <v>68</v>
      </c>
      <c r="I2" s="19" t="s">
        <v>69</v>
      </c>
      <c r="J2" s="19" t="s">
        <v>70</v>
      </c>
      <c r="K2" s="19" t="s">
        <v>71</v>
      </c>
      <c r="L2" s="19" t="s">
        <v>72</v>
      </c>
      <c r="M2" s="19" t="s">
        <v>73</v>
      </c>
      <c r="N2" s="19" t="s">
        <v>98</v>
      </c>
    </row>
    <row r="3" spans="2:14" ht="15" customHeight="1" x14ac:dyDescent="0.35">
      <c r="B3" s="25">
        <f t="shared" ref="B3:B22" si="0">RANK(N3,$N$3:$N$22)</f>
        <v>1</v>
      </c>
      <c r="C3" s="26" t="s">
        <v>74</v>
      </c>
      <c r="D3" s="26" t="s">
        <v>74</v>
      </c>
      <c r="E3" s="27">
        <f>INDEX('Indicator Scores (0-100)'!C$3:C$22,MATCH($C3,'Indicator Scores (0-100)'!$B$3:$B$22,0))*Methodology!$D$10</f>
        <v>14.25</v>
      </c>
      <c r="F3" s="27">
        <f>INDEX('Indicator Scores (0-100)'!D$3:D$22,MATCH($C3,'Indicator Scores (0-100)'!$B$3:$B$22,0))*Methodology!$D$11</f>
        <v>13.5</v>
      </c>
      <c r="G3" s="27">
        <f>INDEX('Indicator Scores (0-100)'!E$3:E$22,MATCH($C3,'Indicator Scores (0-100)'!$B$3:$B$22,0))*Methodology!$D$12</f>
        <v>12.75</v>
      </c>
      <c r="H3" s="27">
        <f>INDEX('Indicator Scores (0-100)'!F$3:F$22,MATCH($C3,'Indicator Scores (0-100)'!$B$3:$B$22,0))*Methodology!$D$13</f>
        <v>10.799999999999999</v>
      </c>
      <c r="I3" s="27">
        <f>INDEX('Indicator Scores (0-100)'!G$3:G$22,MATCH($C3,'Indicator Scores (0-100)'!$B$3:$B$22,0))*Methodology!$D$14</f>
        <v>7.2</v>
      </c>
      <c r="J3" s="27">
        <f>INDEX('Indicator Scores (0-100)'!H$3:H$22,MATCH($C3,'Indicator Scores (0-100)'!$B$3:$B$22,0))*Methodology!$D$15</f>
        <v>9.5</v>
      </c>
      <c r="K3" s="27">
        <f>INDEX('Indicator Scores (0-100)'!I$3:I$22,MATCH($C3,'Indicator Scores (0-100)'!$B$3:$B$22,0))*Methodology!$D$16</f>
        <v>7.2</v>
      </c>
      <c r="L3" s="27">
        <f>INDEX('Indicator Scores (0-100)'!J$3:J$22,MATCH($C3,'Indicator Scores (0-100)'!$B$3:$B$22,0))*Methodology!$D$17</f>
        <v>9.5</v>
      </c>
      <c r="M3" s="27">
        <f>INDEX('Indicator Scores (0-100)'!K$3:K$22,MATCH($C3,'Indicator Scores (0-100)'!$B$3:$B$22,0))*Methodology!$D$18</f>
        <v>4.9000000000000004</v>
      </c>
      <c r="N3" s="28">
        <f t="shared" ref="N3:N22" si="1">SUM(E3:M3)</f>
        <v>89.600000000000009</v>
      </c>
    </row>
    <row r="4" spans="2:14" ht="15" customHeight="1" x14ac:dyDescent="0.35">
      <c r="B4" s="25">
        <f t="shared" si="0"/>
        <v>3</v>
      </c>
      <c r="C4" s="26" t="s">
        <v>75</v>
      </c>
      <c r="D4" s="26" t="s">
        <v>74</v>
      </c>
      <c r="E4" s="27">
        <f>INDEX('Indicator Scores (0-100)'!C$3:C$22,MATCH($C4,'Indicator Scores (0-100)'!$B$3:$B$22,0))*Methodology!$D$10</f>
        <v>12.75</v>
      </c>
      <c r="F4" s="27">
        <f>INDEX('Indicator Scores (0-100)'!D$3:D$22,MATCH($C4,'Indicator Scores (0-100)'!$B$3:$B$22,0))*Methodology!$D$11</f>
        <v>12.75</v>
      </c>
      <c r="G4" s="27">
        <f>INDEX('Indicator Scores (0-100)'!E$3:E$22,MATCH($C4,'Indicator Scores (0-100)'!$B$3:$B$22,0))*Methodology!$D$12</f>
        <v>12</v>
      </c>
      <c r="H4" s="27">
        <f>INDEX('Indicator Scores (0-100)'!F$3:F$22,MATCH($C4,'Indicator Scores (0-100)'!$B$3:$B$22,0))*Methodology!$D$13</f>
        <v>11.4</v>
      </c>
      <c r="I4" s="27">
        <f>INDEX('Indicator Scores (0-100)'!G$3:G$22,MATCH($C4,'Indicator Scores (0-100)'!$B$3:$B$22,0))*Methodology!$D$14</f>
        <v>5.6000000000000005</v>
      </c>
      <c r="J4" s="27">
        <f>INDEX('Indicator Scores (0-100)'!H$3:H$22,MATCH($C4,'Indicator Scores (0-100)'!$B$3:$B$22,0))*Methodology!$D$15</f>
        <v>7.5</v>
      </c>
      <c r="K4" s="27">
        <f>INDEX('Indicator Scores (0-100)'!I$3:I$22,MATCH($C4,'Indicator Scores (0-100)'!$B$3:$B$22,0))*Methodology!$D$16</f>
        <v>6</v>
      </c>
      <c r="L4" s="27">
        <f>INDEX('Indicator Scores (0-100)'!J$3:J$22,MATCH($C4,'Indicator Scores (0-100)'!$B$3:$B$22,0))*Methodology!$D$17</f>
        <v>9.5</v>
      </c>
      <c r="M4" s="27">
        <f>INDEX('Indicator Scores (0-100)'!K$3:K$22,MATCH($C4,'Indicator Scores (0-100)'!$B$3:$B$22,0))*Methodology!$D$18</f>
        <v>5.6000000000000005</v>
      </c>
      <c r="N4" s="28">
        <f t="shared" si="1"/>
        <v>83.1</v>
      </c>
    </row>
    <row r="5" spans="2:14" ht="15" customHeight="1" x14ac:dyDescent="0.35">
      <c r="B5" s="25">
        <f t="shared" si="0"/>
        <v>4</v>
      </c>
      <c r="C5" s="26" t="s">
        <v>76</v>
      </c>
      <c r="D5" s="26" t="s">
        <v>74</v>
      </c>
      <c r="E5" s="27">
        <f>INDEX('Indicator Scores (0-100)'!C$3:C$22,MATCH($C5,'Indicator Scores (0-100)'!$B$3:$B$22,0))*Methodology!$D$10</f>
        <v>12</v>
      </c>
      <c r="F5" s="27">
        <f>INDEX('Indicator Scores (0-100)'!D$3:D$22,MATCH($C5,'Indicator Scores (0-100)'!$B$3:$B$22,0))*Methodology!$D$11</f>
        <v>11.25</v>
      </c>
      <c r="G5" s="27">
        <f>INDEX('Indicator Scores (0-100)'!E$3:E$22,MATCH($C5,'Indicator Scores (0-100)'!$B$3:$B$22,0))*Methodology!$D$12</f>
        <v>11.25</v>
      </c>
      <c r="H5" s="27">
        <f>INDEX('Indicator Scores (0-100)'!F$3:F$22,MATCH($C5,'Indicator Scores (0-100)'!$B$3:$B$22,0))*Methodology!$D$13</f>
        <v>10.199999999999999</v>
      </c>
      <c r="I5" s="27">
        <f>INDEX('Indicator Scores (0-100)'!G$3:G$22,MATCH($C5,'Indicator Scores (0-100)'!$B$3:$B$22,0))*Methodology!$D$14</f>
        <v>5.2</v>
      </c>
      <c r="J5" s="27">
        <f>INDEX('Indicator Scores (0-100)'!H$3:H$22,MATCH($C5,'Indicator Scores (0-100)'!$B$3:$B$22,0))*Methodology!$D$15</f>
        <v>7.5</v>
      </c>
      <c r="K5" s="27">
        <f>INDEX('Indicator Scores (0-100)'!I$3:I$22,MATCH($C5,'Indicator Scores (0-100)'!$B$3:$B$22,0))*Methodology!$D$16</f>
        <v>6</v>
      </c>
      <c r="L5" s="27">
        <f>INDEX('Indicator Scores (0-100)'!J$3:J$22,MATCH($C5,'Indicator Scores (0-100)'!$B$3:$B$22,0))*Methodology!$D$17</f>
        <v>8.5</v>
      </c>
      <c r="M5" s="27">
        <f>INDEX('Indicator Scores (0-100)'!K$3:K$22,MATCH($C5,'Indicator Scores (0-100)'!$B$3:$B$22,0))*Methodology!$D$18</f>
        <v>4.2</v>
      </c>
      <c r="N5" s="28">
        <f t="shared" si="1"/>
        <v>76.100000000000009</v>
      </c>
    </row>
    <row r="6" spans="2:14" ht="15" customHeight="1" x14ac:dyDescent="0.35">
      <c r="B6" s="25">
        <f t="shared" si="0"/>
        <v>2</v>
      </c>
      <c r="C6" s="26" t="s">
        <v>77</v>
      </c>
      <c r="D6" s="26" t="s">
        <v>77</v>
      </c>
      <c r="E6" s="27">
        <f>INDEX('Indicator Scores (0-100)'!C$3:C$22,MATCH($C6,'Indicator Scores (0-100)'!$B$3:$B$22,0))*Methodology!$D$10</f>
        <v>15</v>
      </c>
      <c r="F6" s="27">
        <f>INDEX('Indicator Scores (0-100)'!D$3:D$22,MATCH($C6,'Indicator Scores (0-100)'!$B$3:$B$22,0))*Methodology!$D$11</f>
        <v>15</v>
      </c>
      <c r="G6" s="27">
        <f>INDEX('Indicator Scores (0-100)'!E$3:E$22,MATCH($C6,'Indicator Scores (0-100)'!$B$3:$B$22,0))*Methodology!$D$12</f>
        <v>12.75</v>
      </c>
      <c r="H6" s="27">
        <f>INDEX('Indicator Scores (0-100)'!F$3:F$22,MATCH($C6,'Indicator Scores (0-100)'!$B$3:$B$22,0))*Methodology!$D$13</f>
        <v>10.199999999999999</v>
      </c>
      <c r="I6" s="27">
        <f>INDEX('Indicator Scores (0-100)'!G$3:G$22,MATCH($C6,'Indicator Scores (0-100)'!$B$3:$B$22,0))*Methodology!$D$14</f>
        <v>5.6000000000000005</v>
      </c>
      <c r="J6" s="27">
        <f>INDEX('Indicator Scores (0-100)'!H$3:H$22,MATCH($C6,'Indicator Scores (0-100)'!$B$3:$B$22,0))*Methodology!$D$15</f>
        <v>9</v>
      </c>
      <c r="K6" s="27">
        <f>INDEX('Indicator Scores (0-100)'!I$3:I$22,MATCH($C6,'Indicator Scores (0-100)'!$B$3:$B$22,0))*Methodology!$D$16</f>
        <v>6.4</v>
      </c>
      <c r="L6" s="27">
        <f>INDEX('Indicator Scores (0-100)'!J$3:J$22,MATCH($C6,'Indicator Scores (0-100)'!$B$3:$B$22,0))*Methodology!$D$17</f>
        <v>9.5</v>
      </c>
      <c r="M6" s="27">
        <f>INDEX('Indicator Scores (0-100)'!K$3:K$22,MATCH($C6,'Indicator Scores (0-100)'!$B$3:$B$22,0))*Methodology!$D$18</f>
        <v>5.95</v>
      </c>
      <c r="N6" s="28">
        <f t="shared" si="1"/>
        <v>89.40000000000002</v>
      </c>
    </row>
    <row r="7" spans="2:14" ht="15" customHeight="1" x14ac:dyDescent="0.35">
      <c r="B7" s="25">
        <f t="shared" si="0"/>
        <v>6</v>
      </c>
      <c r="C7" s="26" t="s">
        <v>78</v>
      </c>
      <c r="D7" s="26" t="s">
        <v>77</v>
      </c>
      <c r="E7" s="27">
        <f>INDEX('Indicator Scores (0-100)'!C$3:C$22,MATCH($C7,'Indicator Scores (0-100)'!$B$3:$B$22,0))*Methodology!$D$10</f>
        <v>8.25</v>
      </c>
      <c r="F7" s="27">
        <f>INDEX('Indicator Scores (0-100)'!D$3:D$22,MATCH($C7,'Indicator Scores (0-100)'!$B$3:$B$22,0))*Methodology!$D$11</f>
        <v>12</v>
      </c>
      <c r="G7" s="27">
        <f>INDEX('Indicator Scores (0-100)'!E$3:E$22,MATCH($C7,'Indicator Scores (0-100)'!$B$3:$B$22,0))*Methodology!$D$12</f>
        <v>10.5</v>
      </c>
      <c r="H7" s="27">
        <f>INDEX('Indicator Scores (0-100)'!F$3:F$22,MATCH($C7,'Indicator Scores (0-100)'!$B$3:$B$22,0))*Methodology!$D$13</f>
        <v>8.4</v>
      </c>
      <c r="I7" s="27">
        <f>INDEX('Indicator Scores (0-100)'!G$3:G$22,MATCH($C7,'Indicator Scores (0-100)'!$B$3:$B$22,0))*Methodology!$D$14</f>
        <v>4.8</v>
      </c>
      <c r="J7" s="27">
        <f>INDEX('Indicator Scores (0-100)'!H$3:H$22,MATCH($C7,'Indicator Scores (0-100)'!$B$3:$B$22,0))*Methodology!$D$15</f>
        <v>6.5</v>
      </c>
      <c r="K7" s="27">
        <f>INDEX('Indicator Scores (0-100)'!I$3:I$22,MATCH($C7,'Indicator Scores (0-100)'!$B$3:$B$22,0))*Methodology!$D$16</f>
        <v>5.2</v>
      </c>
      <c r="L7" s="27">
        <f>INDEX('Indicator Scores (0-100)'!J$3:J$22,MATCH($C7,'Indicator Scores (0-100)'!$B$3:$B$22,0))*Methodology!$D$17</f>
        <v>7</v>
      </c>
      <c r="M7" s="27">
        <f>INDEX('Indicator Scores (0-100)'!K$3:K$22,MATCH($C7,'Indicator Scores (0-100)'!$B$3:$B$22,0))*Methodology!$D$18</f>
        <v>4.5500000000000007</v>
      </c>
      <c r="N7" s="28">
        <f t="shared" si="1"/>
        <v>67.2</v>
      </c>
    </row>
    <row r="8" spans="2:14" ht="15" customHeight="1" x14ac:dyDescent="0.35">
      <c r="B8" s="25">
        <f t="shared" si="0"/>
        <v>5</v>
      </c>
      <c r="C8" s="26" t="s">
        <v>79</v>
      </c>
      <c r="D8" s="26" t="s">
        <v>77</v>
      </c>
      <c r="E8" s="27">
        <f>INDEX('Indicator Scores (0-100)'!C$3:C$22,MATCH($C8,'Indicator Scores (0-100)'!$B$3:$B$22,0))*Methodology!$D$10</f>
        <v>10.5</v>
      </c>
      <c r="F8" s="27">
        <f>INDEX('Indicator Scores (0-100)'!D$3:D$22,MATCH($C8,'Indicator Scores (0-100)'!$B$3:$B$22,0))*Methodology!$D$11</f>
        <v>13.5</v>
      </c>
      <c r="G8" s="27">
        <f>INDEX('Indicator Scores (0-100)'!E$3:E$22,MATCH($C8,'Indicator Scores (0-100)'!$B$3:$B$22,0))*Methodology!$D$12</f>
        <v>11.25</v>
      </c>
      <c r="H8" s="27">
        <f>INDEX('Indicator Scores (0-100)'!F$3:F$22,MATCH($C8,'Indicator Scores (0-100)'!$B$3:$B$22,0))*Methodology!$D$13</f>
        <v>7.1999999999999993</v>
      </c>
      <c r="I8" s="27">
        <f>INDEX('Indicator Scores (0-100)'!G$3:G$22,MATCH($C8,'Indicator Scores (0-100)'!$B$3:$B$22,0))*Methodology!$D$14</f>
        <v>4.8</v>
      </c>
      <c r="J8" s="27">
        <f>INDEX('Indicator Scores (0-100)'!H$3:H$22,MATCH($C8,'Indicator Scores (0-100)'!$B$3:$B$22,0))*Methodology!$D$15</f>
        <v>6</v>
      </c>
      <c r="K8" s="27">
        <f>INDEX('Indicator Scores (0-100)'!I$3:I$22,MATCH($C8,'Indicator Scores (0-100)'!$B$3:$B$22,0))*Methodology!$D$16</f>
        <v>4.8</v>
      </c>
      <c r="L8" s="27">
        <f>INDEX('Indicator Scores (0-100)'!J$3:J$22,MATCH($C8,'Indicator Scores (0-100)'!$B$3:$B$22,0))*Methodology!$D$17</f>
        <v>5.5</v>
      </c>
      <c r="M8" s="27">
        <f>INDEX('Indicator Scores (0-100)'!K$3:K$22,MATCH($C8,'Indicator Scores (0-100)'!$B$3:$B$22,0))*Methodology!$D$18</f>
        <v>6.3000000000000007</v>
      </c>
      <c r="N8" s="28">
        <f t="shared" si="1"/>
        <v>69.849999999999994</v>
      </c>
    </row>
    <row r="9" spans="2:14" ht="15" customHeight="1" x14ac:dyDescent="0.35">
      <c r="B9" s="25">
        <f t="shared" si="0"/>
        <v>8</v>
      </c>
      <c r="C9" s="26" t="s">
        <v>80</v>
      </c>
      <c r="D9" s="26" t="s">
        <v>77</v>
      </c>
      <c r="E9" s="27">
        <f>INDEX('Indicator Scores (0-100)'!C$3:C$22,MATCH($C9,'Indicator Scores (0-100)'!$B$3:$B$22,0))*Methodology!$D$10</f>
        <v>11.25</v>
      </c>
      <c r="F9" s="27">
        <f>INDEX('Indicator Scores (0-100)'!D$3:D$22,MATCH($C9,'Indicator Scores (0-100)'!$B$3:$B$22,0))*Methodology!$D$11</f>
        <v>12.75</v>
      </c>
      <c r="G9" s="27">
        <f>INDEX('Indicator Scores (0-100)'!E$3:E$22,MATCH($C9,'Indicator Scores (0-100)'!$B$3:$B$22,0))*Methodology!$D$12</f>
        <v>10.5</v>
      </c>
      <c r="H9" s="27">
        <f>INDEX('Indicator Scores (0-100)'!F$3:F$22,MATCH($C9,'Indicator Scores (0-100)'!$B$3:$B$22,0))*Methodology!$D$13</f>
        <v>6.6</v>
      </c>
      <c r="I9" s="27">
        <f>INDEX('Indicator Scores (0-100)'!G$3:G$22,MATCH($C9,'Indicator Scores (0-100)'!$B$3:$B$22,0))*Methodology!$D$14</f>
        <v>4</v>
      </c>
      <c r="J9" s="27">
        <f>INDEX('Indicator Scores (0-100)'!H$3:H$22,MATCH($C9,'Indicator Scores (0-100)'!$B$3:$B$22,0))*Methodology!$D$15</f>
        <v>5.5</v>
      </c>
      <c r="K9" s="27">
        <f>INDEX('Indicator Scores (0-100)'!I$3:I$22,MATCH($C9,'Indicator Scores (0-100)'!$B$3:$B$22,0))*Methodology!$D$16</f>
        <v>4.4000000000000004</v>
      </c>
      <c r="L9" s="27">
        <f>INDEX('Indicator Scores (0-100)'!J$3:J$22,MATCH($C9,'Indicator Scores (0-100)'!$B$3:$B$22,0))*Methodology!$D$17</f>
        <v>4.5</v>
      </c>
      <c r="M9" s="27">
        <f>INDEX('Indicator Scores (0-100)'!K$3:K$22,MATCH($C9,'Indicator Scores (0-100)'!$B$3:$B$22,0))*Methodology!$D$18</f>
        <v>6.3000000000000007</v>
      </c>
      <c r="N9" s="28">
        <f t="shared" si="1"/>
        <v>65.8</v>
      </c>
    </row>
    <row r="10" spans="2:14" ht="15" customHeight="1" x14ac:dyDescent="0.35">
      <c r="B10" s="25">
        <f t="shared" si="0"/>
        <v>13</v>
      </c>
      <c r="C10" s="26" t="s">
        <v>81</v>
      </c>
      <c r="D10" s="26" t="s">
        <v>74</v>
      </c>
      <c r="E10" s="27">
        <f>INDEX('Indicator Scores (0-100)'!C$3:C$22,MATCH($C10,'Indicator Scores (0-100)'!$B$3:$B$22,0))*Methodology!$D$10</f>
        <v>9.75</v>
      </c>
      <c r="F10" s="27">
        <f>INDEX('Indicator Scores (0-100)'!D$3:D$22,MATCH($C10,'Indicator Scores (0-100)'!$B$3:$B$22,0))*Methodology!$D$11</f>
        <v>4.5</v>
      </c>
      <c r="G10" s="27">
        <f>INDEX('Indicator Scores (0-100)'!E$3:E$22,MATCH($C10,'Indicator Scores (0-100)'!$B$3:$B$22,0))*Methodology!$D$12</f>
        <v>9.75</v>
      </c>
      <c r="H10" s="27">
        <f>INDEX('Indicator Scores (0-100)'!F$3:F$22,MATCH($C10,'Indicator Scores (0-100)'!$B$3:$B$22,0))*Methodology!$D$13</f>
        <v>7.8</v>
      </c>
      <c r="I10" s="27">
        <f>INDEX('Indicator Scores (0-100)'!G$3:G$22,MATCH($C10,'Indicator Scores (0-100)'!$B$3:$B$22,0))*Methodology!$D$14</f>
        <v>4.4000000000000004</v>
      </c>
      <c r="J10" s="27">
        <f>INDEX('Indicator Scores (0-100)'!H$3:H$22,MATCH($C10,'Indicator Scores (0-100)'!$B$3:$B$22,0))*Methodology!$D$15</f>
        <v>5.5</v>
      </c>
      <c r="K10" s="27">
        <f>INDEX('Indicator Scores (0-100)'!I$3:I$22,MATCH($C10,'Indicator Scores (0-100)'!$B$3:$B$22,0))*Methodology!$D$16</f>
        <v>4.8</v>
      </c>
      <c r="L10" s="27">
        <f>INDEX('Indicator Scores (0-100)'!J$3:J$22,MATCH($C10,'Indicator Scores (0-100)'!$B$3:$B$22,0))*Methodology!$D$17</f>
        <v>6.5</v>
      </c>
      <c r="M10" s="27">
        <f>INDEX('Indicator Scores (0-100)'!K$3:K$22,MATCH($C10,'Indicator Scores (0-100)'!$B$3:$B$22,0))*Methodology!$D$18</f>
        <v>3.8500000000000005</v>
      </c>
      <c r="N10" s="28">
        <f t="shared" si="1"/>
        <v>56.85</v>
      </c>
    </row>
    <row r="11" spans="2:14" ht="15" customHeight="1" x14ac:dyDescent="0.35">
      <c r="B11" s="25">
        <f t="shared" si="0"/>
        <v>10</v>
      </c>
      <c r="C11" s="26" t="s">
        <v>82</v>
      </c>
      <c r="D11" s="26" t="s">
        <v>74</v>
      </c>
      <c r="E11" s="27">
        <f>INDEX('Indicator Scores (0-100)'!C$3:C$22,MATCH($C11,'Indicator Scores (0-100)'!$B$3:$B$22,0))*Methodology!$D$10</f>
        <v>10.5</v>
      </c>
      <c r="F11" s="27">
        <f>INDEX('Indicator Scores (0-100)'!D$3:D$22,MATCH($C11,'Indicator Scores (0-100)'!$B$3:$B$22,0))*Methodology!$D$11</f>
        <v>9</v>
      </c>
      <c r="G11" s="27">
        <f>INDEX('Indicator Scores (0-100)'!E$3:E$22,MATCH($C11,'Indicator Scores (0-100)'!$B$3:$B$22,0))*Methodology!$D$12</f>
        <v>10.5</v>
      </c>
      <c r="H11" s="27">
        <f>INDEX('Indicator Scores (0-100)'!F$3:F$22,MATCH($C11,'Indicator Scores (0-100)'!$B$3:$B$22,0))*Methodology!$D$13</f>
        <v>6.6</v>
      </c>
      <c r="I11" s="27">
        <f>INDEX('Indicator Scores (0-100)'!G$3:G$22,MATCH($C11,'Indicator Scores (0-100)'!$B$3:$B$22,0))*Methodology!$D$14</f>
        <v>4.8</v>
      </c>
      <c r="J11" s="27">
        <f>INDEX('Indicator Scores (0-100)'!H$3:H$22,MATCH($C11,'Indicator Scores (0-100)'!$B$3:$B$22,0))*Methodology!$D$15</f>
        <v>5.5</v>
      </c>
      <c r="K11" s="27">
        <f>INDEX('Indicator Scores (0-100)'!I$3:I$22,MATCH($C11,'Indicator Scores (0-100)'!$B$3:$B$22,0))*Methodology!$D$16</f>
        <v>4.8</v>
      </c>
      <c r="L11" s="27">
        <f>INDEX('Indicator Scores (0-100)'!J$3:J$22,MATCH($C11,'Indicator Scores (0-100)'!$B$3:$B$22,0))*Methodology!$D$17</f>
        <v>5.5</v>
      </c>
      <c r="M11" s="27">
        <f>INDEX('Indicator Scores (0-100)'!K$3:K$22,MATCH($C11,'Indicator Scores (0-100)'!$B$3:$B$22,0))*Methodology!$D$18</f>
        <v>5.2500000000000009</v>
      </c>
      <c r="N11" s="28">
        <f t="shared" si="1"/>
        <v>62.449999999999996</v>
      </c>
    </row>
    <row r="12" spans="2:14" ht="15" customHeight="1" x14ac:dyDescent="0.35">
      <c r="B12" s="25">
        <f t="shared" si="0"/>
        <v>17</v>
      </c>
      <c r="C12" s="26" t="s">
        <v>83</v>
      </c>
      <c r="D12" s="26" t="s">
        <v>74</v>
      </c>
      <c r="E12" s="27">
        <f>INDEX('Indicator Scores (0-100)'!C$3:C$22,MATCH($C12,'Indicator Scores (0-100)'!$B$3:$B$22,0))*Methodology!$D$10</f>
        <v>8.25</v>
      </c>
      <c r="F12" s="27">
        <f>INDEX('Indicator Scores (0-100)'!D$3:D$22,MATCH($C12,'Indicator Scores (0-100)'!$B$3:$B$22,0))*Methodology!$D$11</f>
        <v>3.75</v>
      </c>
      <c r="G12" s="27">
        <f>INDEX('Indicator Scores (0-100)'!E$3:E$22,MATCH($C12,'Indicator Scores (0-100)'!$B$3:$B$22,0))*Methodology!$D$12</f>
        <v>9</v>
      </c>
      <c r="H12" s="27">
        <f>INDEX('Indicator Scores (0-100)'!F$3:F$22,MATCH($C12,'Indicator Scores (0-100)'!$B$3:$B$22,0))*Methodology!$D$13</f>
        <v>6.6</v>
      </c>
      <c r="I12" s="27">
        <f>INDEX('Indicator Scores (0-100)'!G$3:G$22,MATCH($C12,'Indicator Scores (0-100)'!$B$3:$B$22,0))*Methodology!$D$14</f>
        <v>4</v>
      </c>
      <c r="J12" s="27">
        <f>INDEX('Indicator Scores (0-100)'!H$3:H$22,MATCH($C12,'Indicator Scores (0-100)'!$B$3:$B$22,0))*Methodology!$D$15</f>
        <v>5.5</v>
      </c>
      <c r="K12" s="27">
        <f>INDEX('Indicator Scores (0-100)'!I$3:I$22,MATCH($C12,'Indicator Scores (0-100)'!$B$3:$B$22,0))*Methodology!$D$16</f>
        <v>4.4000000000000004</v>
      </c>
      <c r="L12" s="27">
        <f>INDEX('Indicator Scores (0-100)'!J$3:J$22,MATCH($C12,'Indicator Scores (0-100)'!$B$3:$B$22,0))*Methodology!$D$17</f>
        <v>5</v>
      </c>
      <c r="M12" s="27">
        <f>INDEX('Indicator Scores (0-100)'!K$3:K$22,MATCH($C12,'Indicator Scores (0-100)'!$B$3:$B$22,0))*Methodology!$D$18</f>
        <v>3.1500000000000004</v>
      </c>
      <c r="N12" s="28">
        <f t="shared" si="1"/>
        <v>49.65</v>
      </c>
    </row>
    <row r="13" spans="2:14" ht="15" customHeight="1" x14ac:dyDescent="0.35">
      <c r="B13" s="25">
        <f t="shared" si="0"/>
        <v>15</v>
      </c>
      <c r="C13" s="26" t="s">
        <v>84</v>
      </c>
      <c r="D13" s="26" t="s">
        <v>85</v>
      </c>
      <c r="E13" s="27">
        <f>INDEX('Indicator Scores (0-100)'!C$3:C$22,MATCH($C13,'Indicator Scores (0-100)'!$B$3:$B$22,0))*Methodology!$D$10</f>
        <v>7.5</v>
      </c>
      <c r="F13" s="27">
        <f>INDEX('Indicator Scores (0-100)'!D$3:D$22,MATCH($C13,'Indicator Scores (0-100)'!$B$3:$B$22,0))*Methodology!$D$11</f>
        <v>3</v>
      </c>
      <c r="G13" s="27">
        <f>INDEX('Indicator Scores (0-100)'!E$3:E$22,MATCH($C13,'Indicator Scores (0-100)'!$B$3:$B$22,0))*Methodology!$D$12</f>
        <v>8.25</v>
      </c>
      <c r="H13" s="27">
        <f>INDEX('Indicator Scores (0-100)'!F$3:F$22,MATCH($C13,'Indicator Scores (0-100)'!$B$3:$B$22,0))*Methodology!$D$13</f>
        <v>7.1999999999999993</v>
      </c>
      <c r="I13" s="27">
        <f>INDEX('Indicator Scores (0-100)'!G$3:G$22,MATCH($C13,'Indicator Scores (0-100)'!$B$3:$B$22,0))*Methodology!$D$14</f>
        <v>4.8</v>
      </c>
      <c r="J13" s="27">
        <f>INDEX('Indicator Scores (0-100)'!H$3:H$22,MATCH($C13,'Indicator Scores (0-100)'!$B$3:$B$22,0))*Methodology!$D$15</f>
        <v>6.5</v>
      </c>
      <c r="K13" s="27">
        <f>INDEX('Indicator Scores (0-100)'!I$3:I$22,MATCH($C13,'Indicator Scores (0-100)'!$B$3:$B$22,0))*Methodology!$D$16</f>
        <v>4.8</v>
      </c>
      <c r="L13" s="27">
        <f>INDEX('Indicator Scores (0-100)'!J$3:J$22,MATCH($C13,'Indicator Scores (0-100)'!$B$3:$B$22,0))*Methodology!$D$17</f>
        <v>5.5</v>
      </c>
      <c r="M13" s="27">
        <f>INDEX('Indicator Scores (0-100)'!K$3:K$22,MATCH($C13,'Indicator Scores (0-100)'!$B$3:$B$22,0))*Methodology!$D$18</f>
        <v>4.2</v>
      </c>
      <c r="N13" s="28">
        <f t="shared" si="1"/>
        <v>51.75</v>
      </c>
    </row>
    <row r="14" spans="2:14" ht="15" customHeight="1" x14ac:dyDescent="0.35">
      <c r="B14" s="25">
        <f t="shared" si="0"/>
        <v>18</v>
      </c>
      <c r="C14" s="26" t="s">
        <v>85</v>
      </c>
      <c r="D14" s="26" t="s">
        <v>85</v>
      </c>
      <c r="E14" s="27">
        <f>INDEX('Indicator Scores (0-100)'!C$3:C$22,MATCH($C14,'Indicator Scores (0-100)'!$B$3:$B$22,0))*Methodology!$D$10</f>
        <v>6.75</v>
      </c>
      <c r="F14" s="27">
        <f>INDEX('Indicator Scores (0-100)'!D$3:D$22,MATCH($C14,'Indicator Scores (0-100)'!$B$3:$B$22,0))*Methodology!$D$11</f>
        <v>3.75</v>
      </c>
      <c r="G14" s="27">
        <f>INDEX('Indicator Scores (0-100)'!E$3:E$22,MATCH($C14,'Indicator Scores (0-100)'!$B$3:$B$22,0))*Methodology!$D$12</f>
        <v>6</v>
      </c>
      <c r="H14" s="27">
        <f>INDEX('Indicator Scores (0-100)'!F$3:F$22,MATCH($C14,'Indicator Scores (0-100)'!$B$3:$B$22,0))*Methodology!$D$13</f>
        <v>6.6</v>
      </c>
      <c r="I14" s="27">
        <f>INDEX('Indicator Scores (0-100)'!G$3:G$22,MATCH($C14,'Indicator Scores (0-100)'!$B$3:$B$22,0))*Methodology!$D$14</f>
        <v>5.2</v>
      </c>
      <c r="J14" s="27">
        <f>INDEX('Indicator Scores (0-100)'!H$3:H$22,MATCH($C14,'Indicator Scores (0-100)'!$B$3:$B$22,0))*Methodology!$D$15</f>
        <v>7</v>
      </c>
      <c r="K14" s="27">
        <f>INDEX('Indicator Scores (0-100)'!I$3:I$22,MATCH($C14,'Indicator Scores (0-100)'!$B$3:$B$22,0))*Methodology!$D$16</f>
        <v>5.2</v>
      </c>
      <c r="L14" s="27">
        <f>INDEX('Indicator Scores (0-100)'!J$3:J$22,MATCH($C14,'Indicator Scores (0-100)'!$B$3:$B$22,0))*Methodology!$D$17</f>
        <v>4</v>
      </c>
      <c r="M14" s="27">
        <f>INDEX('Indicator Scores (0-100)'!K$3:K$22,MATCH($C14,'Indicator Scores (0-100)'!$B$3:$B$22,0))*Methodology!$D$18</f>
        <v>2.8000000000000003</v>
      </c>
      <c r="N14" s="28">
        <f t="shared" si="1"/>
        <v>47.3</v>
      </c>
    </row>
    <row r="15" spans="2:14" ht="15" customHeight="1" x14ac:dyDescent="0.35">
      <c r="B15" s="25">
        <f t="shared" si="0"/>
        <v>20</v>
      </c>
      <c r="C15" s="26" t="s">
        <v>86</v>
      </c>
      <c r="D15" s="26" t="s">
        <v>85</v>
      </c>
      <c r="E15" s="27">
        <f>INDEX('Indicator Scores (0-100)'!C$3:C$22,MATCH($C15,'Indicator Scores (0-100)'!$B$3:$B$22,0))*Methodology!$D$10</f>
        <v>5.25</v>
      </c>
      <c r="F15" s="27">
        <f>INDEX('Indicator Scores (0-100)'!D$3:D$22,MATCH($C15,'Indicator Scores (0-100)'!$B$3:$B$22,0))*Methodology!$D$11</f>
        <v>2.25</v>
      </c>
      <c r="G15" s="27">
        <f>INDEX('Indicator Scores (0-100)'!E$3:E$22,MATCH($C15,'Indicator Scores (0-100)'!$B$3:$B$22,0))*Methodology!$D$12</f>
        <v>6.75</v>
      </c>
      <c r="H15" s="27">
        <f>INDEX('Indicator Scores (0-100)'!F$3:F$22,MATCH($C15,'Indicator Scores (0-100)'!$B$3:$B$22,0))*Methodology!$D$13</f>
        <v>6</v>
      </c>
      <c r="I15" s="27">
        <f>INDEX('Indicator Scores (0-100)'!G$3:G$22,MATCH($C15,'Indicator Scores (0-100)'!$B$3:$B$22,0))*Methodology!$D$14</f>
        <v>4.4000000000000004</v>
      </c>
      <c r="J15" s="27">
        <f>INDEX('Indicator Scores (0-100)'!H$3:H$22,MATCH($C15,'Indicator Scores (0-100)'!$B$3:$B$22,0))*Methodology!$D$15</f>
        <v>5</v>
      </c>
      <c r="K15" s="27">
        <f>INDEX('Indicator Scores (0-100)'!I$3:I$22,MATCH($C15,'Indicator Scores (0-100)'!$B$3:$B$22,0))*Methodology!$D$16</f>
        <v>4</v>
      </c>
      <c r="L15" s="27">
        <f>INDEX('Indicator Scores (0-100)'!J$3:J$22,MATCH($C15,'Indicator Scores (0-100)'!$B$3:$B$22,0))*Methodology!$D$17</f>
        <v>4</v>
      </c>
      <c r="M15" s="27">
        <f>INDEX('Indicator Scores (0-100)'!K$3:K$22,MATCH($C15,'Indicator Scores (0-100)'!$B$3:$B$22,0))*Methodology!$D$18</f>
        <v>2.4500000000000002</v>
      </c>
      <c r="N15" s="28">
        <f t="shared" si="1"/>
        <v>40.1</v>
      </c>
    </row>
    <row r="16" spans="2:14" ht="15" customHeight="1" x14ac:dyDescent="0.35">
      <c r="B16" s="25">
        <f t="shared" si="0"/>
        <v>9</v>
      </c>
      <c r="C16" s="26" t="s">
        <v>87</v>
      </c>
      <c r="D16" s="26" t="s">
        <v>87</v>
      </c>
      <c r="E16" s="27">
        <f>INDEX('Indicator Scores (0-100)'!C$3:C$22,MATCH($C16,'Indicator Scores (0-100)'!$B$3:$B$22,0))*Methodology!$D$10</f>
        <v>12</v>
      </c>
      <c r="F16" s="27">
        <f>INDEX('Indicator Scores (0-100)'!D$3:D$22,MATCH($C16,'Indicator Scores (0-100)'!$B$3:$B$22,0))*Methodology!$D$11</f>
        <v>9.75</v>
      </c>
      <c r="G16" s="27">
        <f>INDEX('Indicator Scores (0-100)'!E$3:E$22,MATCH($C16,'Indicator Scores (0-100)'!$B$3:$B$22,0))*Methodology!$D$12</f>
        <v>6.75</v>
      </c>
      <c r="H16" s="27">
        <f>INDEX('Indicator Scores (0-100)'!F$3:F$22,MATCH($C16,'Indicator Scores (0-100)'!$B$3:$B$22,0))*Methodology!$D$13</f>
        <v>7.8</v>
      </c>
      <c r="I16" s="27">
        <f>INDEX('Indicator Scores (0-100)'!G$3:G$22,MATCH($C16,'Indicator Scores (0-100)'!$B$3:$B$22,0))*Methodology!$D$14</f>
        <v>5.2</v>
      </c>
      <c r="J16" s="27">
        <f>INDEX('Indicator Scores (0-100)'!H$3:H$22,MATCH($C16,'Indicator Scores (0-100)'!$B$3:$B$22,0))*Methodology!$D$15</f>
        <v>7.5</v>
      </c>
      <c r="K16" s="27">
        <f>INDEX('Indicator Scores (0-100)'!I$3:I$22,MATCH($C16,'Indicator Scores (0-100)'!$B$3:$B$22,0))*Methodology!$D$16</f>
        <v>5.2</v>
      </c>
      <c r="L16" s="27">
        <f>INDEX('Indicator Scores (0-100)'!J$3:J$22,MATCH($C16,'Indicator Scores (0-100)'!$B$3:$B$22,0))*Methodology!$D$17</f>
        <v>6.5</v>
      </c>
      <c r="M16" s="27">
        <f>INDEX('Indicator Scores (0-100)'!K$3:K$22,MATCH($C16,'Indicator Scores (0-100)'!$B$3:$B$22,0))*Methodology!$D$18</f>
        <v>4.2</v>
      </c>
      <c r="N16" s="28">
        <f t="shared" si="1"/>
        <v>64.900000000000006</v>
      </c>
    </row>
    <row r="17" spans="2:14" ht="15" customHeight="1" x14ac:dyDescent="0.35">
      <c r="B17" s="25">
        <f t="shared" si="0"/>
        <v>7</v>
      </c>
      <c r="C17" s="26" t="s">
        <v>88</v>
      </c>
      <c r="D17" s="26" t="s">
        <v>87</v>
      </c>
      <c r="E17" s="27">
        <f>INDEX('Indicator Scores (0-100)'!C$3:C$22,MATCH($C17,'Indicator Scores (0-100)'!$B$3:$B$22,0))*Methodology!$D$10</f>
        <v>11.25</v>
      </c>
      <c r="F17" s="27">
        <f>INDEX('Indicator Scores (0-100)'!D$3:D$22,MATCH($C17,'Indicator Scores (0-100)'!$B$3:$B$22,0))*Methodology!$D$11</f>
        <v>11.25</v>
      </c>
      <c r="G17" s="27">
        <f>INDEX('Indicator Scores (0-100)'!E$3:E$22,MATCH($C17,'Indicator Scores (0-100)'!$B$3:$B$22,0))*Methodology!$D$12</f>
        <v>8.25</v>
      </c>
      <c r="H17" s="27">
        <f>INDEX('Indicator Scores (0-100)'!F$3:F$22,MATCH($C17,'Indicator Scores (0-100)'!$B$3:$B$22,0))*Methodology!$D$13</f>
        <v>7.1999999999999993</v>
      </c>
      <c r="I17" s="27">
        <f>INDEX('Indicator Scores (0-100)'!G$3:G$22,MATCH($C17,'Indicator Scores (0-100)'!$B$3:$B$22,0))*Methodology!$D$14</f>
        <v>5.44</v>
      </c>
      <c r="J17" s="27">
        <f>INDEX('Indicator Scores (0-100)'!H$3:H$22,MATCH($C17,'Indicator Scores (0-100)'!$B$3:$B$22,0))*Methodology!$D$15</f>
        <v>6.5</v>
      </c>
      <c r="K17" s="27">
        <f>INDEX('Indicator Scores (0-100)'!I$3:I$22,MATCH($C17,'Indicator Scores (0-100)'!$B$3:$B$22,0))*Methodology!$D$16</f>
        <v>5.2</v>
      </c>
      <c r="L17" s="27">
        <f>INDEX('Indicator Scores (0-100)'!J$3:J$22,MATCH($C17,'Indicator Scores (0-100)'!$B$3:$B$22,0))*Methodology!$D$17</f>
        <v>5.5</v>
      </c>
      <c r="M17" s="27">
        <f>INDEX('Indicator Scores (0-100)'!K$3:K$22,MATCH($C17,'Indicator Scores (0-100)'!$B$3:$B$22,0))*Methodology!$D$18</f>
        <v>5.6000000000000005</v>
      </c>
      <c r="N17" s="28">
        <f t="shared" si="1"/>
        <v>66.19</v>
      </c>
    </row>
    <row r="18" spans="2:14" ht="15" customHeight="1" x14ac:dyDescent="0.35">
      <c r="B18" s="25">
        <f t="shared" si="0"/>
        <v>11</v>
      </c>
      <c r="C18" s="26" t="s">
        <v>89</v>
      </c>
      <c r="D18" s="26" t="s">
        <v>89</v>
      </c>
      <c r="E18" s="27">
        <f>INDEX('Indicator Scores (0-100)'!C$3:C$22,MATCH($C18,'Indicator Scores (0-100)'!$B$3:$B$22,0))*Methodology!$D$10</f>
        <v>10.5</v>
      </c>
      <c r="F18" s="27">
        <f>INDEX('Indicator Scores (0-100)'!D$3:D$22,MATCH($C18,'Indicator Scores (0-100)'!$B$3:$B$22,0))*Methodology!$D$11</f>
        <v>5.25</v>
      </c>
      <c r="G18" s="27">
        <f>INDEX('Indicator Scores (0-100)'!E$3:E$22,MATCH($C18,'Indicator Scores (0-100)'!$B$3:$B$22,0))*Methodology!$D$12</f>
        <v>12</v>
      </c>
      <c r="H18" s="27">
        <f>INDEX('Indicator Scores (0-100)'!F$3:F$22,MATCH($C18,'Indicator Scores (0-100)'!$B$3:$B$22,0))*Methodology!$D$13</f>
        <v>6</v>
      </c>
      <c r="I18" s="27">
        <f>INDEX('Indicator Scores (0-100)'!G$3:G$22,MATCH($C18,'Indicator Scores (0-100)'!$B$3:$B$22,0))*Methodology!$D$14</f>
        <v>5.2</v>
      </c>
      <c r="J18" s="27">
        <f>INDEX('Indicator Scores (0-100)'!H$3:H$22,MATCH($C18,'Indicator Scores (0-100)'!$B$3:$B$22,0))*Methodology!$D$15</f>
        <v>8</v>
      </c>
      <c r="K18" s="27">
        <f>INDEX('Indicator Scores (0-100)'!I$3:I$22,MATCH($C18,'Indicator Scores (0-100)'!$B$3:$B$22,0))*Methodology!$D$16</f>
        <v>5.2</v>
      </c>
      <c r="L18" s="27">
        <f>INDEX('Indicator Scores (0-100)'!J$3:J$22,MATCH($C18,'Indicator Scores (0-100)'!$B$3:$B$22,0))*Methodology!$D$17</f>
        <v>6</v>
      </c>
      <c r="M18" s="27">
        <f>INDEX('Indicator Scores (0-100)'!K$3:K$22,MATCH($C18,'Indicator Scores (0-100)'!$B$3:$B$22,0))*Methodology!$D$18</f>
        <v>3.8500000000000005</v>
      </c>
      <c r="N18" s="28">
        <f t="shared" si="1"/>
        <v>62.000000000000007</v>
      </c>
    </row>
    <row r="19" spans="2:14" ht="15" customHeight="1" x14ac:dyDescent="0.35">
      <c r="B19" s="25">
        <f t="shared" si="0"/>
        <v>16</v>
      </c>
      <c r="C19" s="26" t="s">
        <v>90</v>
      </c>
      <c r="D19" s="26" t="s">
        <v>90</v>
      </c>
      <c r="E19" s="27">
        <f>INDEX('Indicator Scores (0-100)'!C$3:C$22,MATCH($C19,'Indicator Scores (0-100)'!$B$3:$B$22,0))*Methodology!$D$10</f>
        <v>9</v>
      </c>
      <c r="F19" s="27">
        <f>INDEX('Indicator Scores (0-100)'!D$3:D$22,MATCH($C19,'Indicator Scores (0-100)'!$B$3:$B$22,0))*Methodology!$D$11</f>
        <v>4.5</v>
      </c>
      <c r="G19" s="27">
        <f>INDEX('Indicator Scores (0-100)'!E$3:E$22,MATCH($C19,'Indicator Scores (0-100)'!$B$3:$B$22,0))*Methodology!$D$12</f>
        <v>8.25</v>
      </c>
      <c r="H19" s="27">
        <f>INDEX('Indicator Scores (0-100)'!F$3:F$22,MATCH($C19,'Indicator Scores (0-100)'!$B$3:$B$22,0))*Methodology!$D$13</f>
        <v>6.6</v>
      </c>
      <c r="I19" s="27">
        <f>INDEX('Indicator Scores (0-100)'!G$3:G$22,MATCH($C19,'Indicator Scores (0-100)'!$B$3:$B$22,0))*Methodology!$D$14</f>
        <v>4.8</v>
      </c>
      <c r="J19" s="27">
        <f>INDEX('Indicator Scores (0-100)'!H$3:H$22,MATCH($C19,'Indicator Scores (0-100)'!$B$3:$B$22,0))*Methodology!$D$15</f>
        <v>6</v>
      </c>
      <c r="K19" s="27">
        <f>INDEX('Indicator Scores (0-100)'!I$3:I$22,MATCH($C19,'Indicator Scores (0-100)'!$B$3:$B$22,0))*Methodology!$D$16</f>
        <v>4.4000000000000004</v>
      </c>
      <c r="L19" s="27">
        <f>INDEX('Indicator Scores (0-100)'!J$3:J$22,MATCH($C19,'Indicator Scores (0-100)'!$B$3:$B$22,0))*Methodology!$D$17</f>
        <v>3</v>
      </c>
      <c r="M19" s="27">
        <f>INDEX('Indicator Scores (0-100)'!K$3:K$22,MATCH($C19,'Indicator Scores (0-100)'!$B$3:$B$22,0))*Methodology!$D$18</f>
        <v>4.5500000000000007</v>
      </c>
      <c r="N19" s="28">
        <f t="shared" si="1"/>
        <v>51.099999999999994</v>
      </c>
    </row>
    <row r="20" spans="2:14" ht="15" customHeight="1" x14ac:dyDescent="0.35">
      <c r="B20" s="25">
        <f t="shared" si="0"/>
        <v>12</v>
      </c>
      <c r="C20" s="26" t="s">
        <v>91</v>
      </c>
      <c r="D20" s="26" t="s">
        <v>91</v>
      </c>
      <c r="E20" s="27">
        <f>INDEX('Indicator Scores (0-100)'!C$3:C$22,MATCH($C20,'Indicator Scores (0-100)'!$B$3:$B$22,0))*Methodology!$D$10</f>
        <v>8.25</v>
      </c>
      <c r="F20" s="27">
        <f>INDEX('Indicator Scores (0-100)'!D$3:D$22,MATCH($C20,'Indicator Scores (0-100)'!$B$3:$B$22,0))*Methodology!$D$11</f>
        <v>10.5</v>
      </c>
      <c r="G20" s="27">
        <f>INDEX('Indicator Scores (0-100)'!E$3:E$22,MATCH($C20,'Indicator Scores (0-100)'!$B$3:$B$22,0))*Methodology!$D$12</f>
        <v>9</v>
      </c>
      <c r="H20" s="27">
        <f>INDEX('Indicator Scores (0-100)'!F$3:F$22,MATCH($C20,'Indicator Scores (0-100)'!$B$3:$B$22,0))*Methodology!$D$13</f>
        <v>7.8</v>
      </c>
      <c r="I20" s="27">
        <f>INDEX('Indicator Scores (0-100)'!G$3:G$22,MATCH($C20,'Indicator Scores (0-100)'!$B$3:$B$22,0))*Methodology!$D$14</f>
        <v>4.4000000000000004</v>
      </c>
      <c r="J20" s="27">
        <f>INDEX('Indicator Scores (0-100)'!H$3:H$22,MATCH($C20,'Indicator Scores (0-100)'!$B$3:$B$22,0))*Methodology!$D$15</f>
        <v>6</v>
      </c>
      <c r="K20" s="27">
        <f>INDEX('Indicator Scores (0-100)'!I$3:I$22,MATCH($C20,'Indicator Scores (0-100)'!$B$3:$B$22,0))*Methodology!$D$16</f>
        <v>4.4000000000000004</v>
      </c>
      <c r="L20" s="27">
        <f>INDEX('Indicator Scores (0-100)'!J$3:J$22,MATCH($C20,'Indicator Scores (0-100)'!$B$3:$B$22,0))*Methodology!$D$17</f>
        <v>6</v>
      </c>
      <c r="M20" s="27">
        <f>INDEX('Indicator Scores (0-100)'!K$3:K$22,MATCH($C20,'Indicator Scores (0-100)'!$B$3:$B$22,0))*Methodology!$D$18</f>
        <v>5.2500000000000009</v>
      </c>
      <c r="N20" s="28">
        <f t="shared" si="1"/>
        <v>61.599999999999994</v>
      </c>
    </row>
    <row r="21" spans="2:14" ht="15" customHeight="1" x14ac:dyDescent="0.35">
      <c r="B21" s="25">
        <f t="shared" si="0"/>
        <v>19</v>
      </c>
      <c r="C21" s="26" t="s">
        <v>92</v>
      </c>
      <c r="D21" s="26" t="s">
        <v>92</v>
      </c>
      <c r="E21" s="27">
        <f>INDEX('Indicator Scores (0-100)'!C$3:C$22,MATCH($C21,'Indicator Scores (0-100)'!$B$3:$B$22,0))*Methodology!$D$10</f>
        <v>6</v>
      </c>
      <c r="F21" s="27">
        <f>INDEX('Indicator Scores (0-100)'!D$3:D$22,MATCH($C21,'Indicator Scores (0-100)'!$B$3:$B$22,0))*Methodology!$D$11</f>
        <v>2.25</v>
      </c>
      <c r="G21" s="27">
        <f>INDEX('Indicator Scores (0-100)'!E$3:E$22,MATCH($C21,'Indicator Scores (0-100)'!$B$3:$B$22,0))*Methodology!$D$12</f>
        <v>6</v>
      </c>
      <c r="H21" s="27">
        <f>INDEX('Indicator Scores (0-100)'!F$3:F$22,MATCH($C21,'Indicator Scores (0-100)'!$B$3:$B$22,0))*Methodology!$D$13</f>
        <v>7.1999999999999993</v>
      </c>
      <c r="I21" s="27">
        <f>INDEX('Indicator Scores (0-100)'!G$3:G$22,MATCH($C21,'Indicator Scores (0-100)'!$B$3:$B$22,0))*Methodology!$D$14</f>
        <v>4.4000000000000004</v>
      </c>
      <c r="J21" s="27">
        <f>INDEX('Indicator Scores (0-100)'!H$3:H$22,MATCH($C21,'Indicator Scores (0-100)'!$B$3:$B$22,0))*Methodology!$D$15</f>
        <v>5.5</v>
      </c>
      <c r="K21" s="27">
        <f>INDEX('Indicator Scores (0-100)'!I$3:I$22,MATCH($C21,'Indicator Scores (0-100)'!$B$3:$B$22,0))*Methodology!$D$16</f>
        <v>4</v>
      </c>
      <c r="L21" s="27">
        <f>INDEX('Indicator Scores (0-100)'!J$3:J$22,MATCH($C21,'Indicator Scores (0-100)'!$B$3:$B$22,0))*Methodology!$D$17</f>
        <v>3.5</v>
      </c>
      <c r="M21" s="27">
        <f>INDEX('Indicator Scores (0-100)'!K$3:K$22,MATCH($C21,'Indicator Scores (0-100)'!$B$3:$B$22,0))*Methodology!$D$18</f>
        <v>2.1</v>
      </c>
      <c r="N21" s="28">
        <f t="shared" si="1"/>
        <v>40.950000000000003</v>
      </c>
    </row>
    <row r="22" spans="2:14" ht="15" customHeight="1" x14ac:dyDescent="0.35">
      <c r="B22" s="25">
        <f t="shared" si="0"/>
        <v>14</v>
      </c>
      <c r="C22" s="26" t="s">
        <v>93</v>
      </c>
      <c r="D22" s="26" t="s">
        <v>74</v>
      </c>
      <c r="E22" s="27">
        <f>INDEX('Indicator Scores (0-100)'!C$3:C$22,MATCH($C22,'Indicator Scores (0-100)'!$B$3:$B$22,0))*Methodology!$D$10</f>
        <v>9</v>
      </c>
      <c r="F22" s="27">
        <f>INDEX('Indicator Scores (0-100)'!D$3:D$22,MATCH($C22,'Indicator Scores (0-100)'!$B$3:$B$22,0))*Methodology!$D$11</f>
        <v>4.5</v>
      </c>
      <c r="G22" s="27">
        <f>INDEX('Indicator Scores (0-100)'!E$3:E$22,MATCH($C22,'Indicator Scores (0-100)'!$B$3:$B$22,0))*Methodology!$D$12</f>
        <v>9</v>
      </c>
      <c r="H22" s="27">
        <f>INDEX('Indicator Scores (0-100)'!F$3:F$22,MATCH($C22,'Indicator Scores (0-100)'!$B$3:$B$22,0))*Methodology!$D$13</f>
        <v>6.6</v>
      </c>
      <c r="I22" s="27">
        <f>INDEX('Indicator Scores (0-100)'!G$3:G$22,MATCH($C22,'Indicator Scores (0-100)'!$B$3:$B$22,0))*Methodology!$D$14</f>
        <v>4.4000000000000004</v>
      </c>
      <c r="J22" s="27">
        <f>INDEX('Indicator Scores (0-100)'!H$3:H$22,MATCH($C22,'Indicator Scores (0-100)'!$B$3:$B$22,0))*Methodology!$D$15</f>
        <v>5.5</v>
      </c>
      <c r="K22" s="27">
        <f>INDEX('Indicator Scores (0-100)'!I$3:I$22,MATCH($C22,'Indicator Scores (0-100)'!$B$3:$B$22,0))*Methodology!$D$16</f>
        <v>4.4000000000000004</v>
      </c>
      <c r="L22" s="27">
        <f>INDEX('Indicator Scores (0-100)'!J$3:J$22,MATCH($C22,'Indicator Scores (0-100)'!$B$3:$B$22,0))*Methodology!$D$17</f>
        <v>4.5</v>
      </c>
      <c r="M22" s="27">
        <f>INDEX('Indicator Scores (0-100)'!K$3:K$22,MATCH($C22,'Indicator Scores (0-100)'!$B$3:$B$22,0))*Methodology!$D$18</f>
        <v>4.2</v>
      </c>
      <c r="N22" s="28">
        <f t="shared" si="1"/>
        <v>52.1</v>
      </c>
    </row>
    <row r="24" spans="2:14" ht="30" customHeight="1" x14ac:dyDescent="0.35">
      <c r="C24" s="3" t="s">
        <v>99</v>
      </c>
      <c r="D24" s="3"/>
      <c r="E24" s="3"/>
      <c r="F24" s="3"/>
      <c r="G24" s="3"/>
      <c r="H24" s="3"/>
      <c r="I24" s="3"/>
      <c r="J24" s="3"/>
      <c r="K24" s="3"/>
      <c r="L24" s="3"/>
    </row>
    <row r="26" spans="2:14" ht="15" customHeight="1" x14ac:dyDescent="0.35">
      <c r="B26" s="17" t="s">
        <v>6</v>
      </c>
    </row>
  </sheetData>
  <sheetProtection password="CCC9" sheet="1" sort="0" autoFilter="0"/>
  <mergeCells count="1">
    <mergeCell ref="C24:L24"/>
  </mergeCells>
  <pageMargins left="0.4" right="0.4" top="0.6" bottom="0.6" header="0.5" footer="0.5"/>
  <pageSetup fitToHeight="0" orientation="landscape" horizontalDpi="300" verticalDpi="300"/>
  <headerFooter>
    <oddHeader>&amp;L&amp;8 Bangladesh District Investment Attractiveness Index (BDIAI)&amp;R&amp;8 Rankings</oddHeader>
    <oddFooter>&amp;L&amp;7 © 2026 Ahmed Safwan Sajid. All Rights Reserved. Intellectual Property of the Author.&amp;R&amp;8 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P42"/>
  <sheetViews>
    <sheetView showGridLines="0" zoomScale="50" zoomScaleNormal="50" workbookViewId="0">
      <selection activeCell="M7" sqref="M7"/>
    </sheetView>
  </sheetViews>
  <sheetFormatPr defaultColWidth="8.6328125" defaultRowHeight="14.5" x14ac:dyDescent="0.35"/>
  <cols>
    <col min="1" max="1" width="3" style="4" customWidth="1"/>
    <col min="2" max="2" width="20" style="4" customWidth="1"/>
    <col min="3" max="11" width="12" style="4" customWidth="1"/>
    <col min="12" max="12" width="10" style="4" customWidth="1"/>
  </cols>
  <sheetData>
    <row r="2" spans="2:16" ht="15.75" customHeight="1" x14ac:dyDescent="0.35">
      <c r="B2" s="21" t="s">
        <v>100</v>
      </c>
    </row>
    <row r="3" spans="2:16" ht="30" customHeight="1" x14ac:dyDescent="0.35">
      <c r="B3" s="3" t="s">
        <v>101</v>
      </c>
      <c r="C3" s="3"/>
      <c r="D3" s="3"/>
      <c r="E3" s="3"/>
      <c r="F3" s="3"/>
      <c r="G3" s="3"/>
      <c r="H3" s="3"/>
      <c r="I3" s="3"/>
      <c r="J3" s="3"/>
      <c r="K3" s="3"/>
      <c r="L3" s="3"/>
    </row>
    <row r="5" spans="2:16" ht="15" customHeight="1" x14ac:dyDescent="0.35">
      <c r="B5" s="10" t="s">
        <v>102</v>
      </c>
    </row>
    <row r="6" spans="2:16" ht="25.5" customHeight="1" x14ac:dyDescent="0.35">
      <c r="B6" s="19" t="s">
        <v>103</v>
      </c>
      <c r="C6" s="19" t="s">
        <v>65</v>
      </c>
      <c r="D6" s="19" t="s">
        <v>66</v>
      </c>
      <c r="E6" s="19" t="s">
        <v>67</v>
      </c>
      <c r="F6" s="19" t="s">
        <v>68</v>
      </c>
      <c r="G6" s="19" t="s">
        <v>69</v>
      </c>
      <c r="H6" s="19" t="s">
        <v>70</v>
      </c>
      <c r="I6" s="19" t="s">
        <v>71</v>
      </c>
      <c r="J6" s="19" t="s">
        <v>72</v>
      </c>
      <c r="K6" s="19" t="s">
        <v>73</v>
      </c>
      <c r="L6" s="19" t="s">
        <v>104</v>
      </c>
    </row>
    <row r="7" spans="2:16" ht="21.75" customHeight="1" x14ac:dyDescent="0.35">
      <c r="B7" s="29" t="s">
        <v>105</v>
      </c>
      <c r="C7" s="30">
        <v>0.15</v>
      </c>
      <c r="D7" s="30">
        <v>0.15</v>
      </c>
      <c r="E7" s="30">
        <v>0.15</v>
      </c>
      <c r="F7" s="30">
        <v>0.12</v>
      </c>
      <c r="G7" s="30">
        <v>0.08</v>
      </c>
      <c r="H7" s="30">
        <v>0.1</v>
      </c>
      <c r="I7" s="30">
        <v>0.08</v>
      </c>
      <c r="J7" s="30">
        <v>0.1</v>
      </c>
      <c r="K7" s="30">
        <v>7.0000000000000007E-2</v>
      </c>
      <c r="L7" s="16">
        <f>SUM(C7:K7)</f>
        <v>0.99999999999999978</v>
      </c>
    </row>
    <row r="8" spans="2:16" ht="15" customHeight="1" x14ac:dyDescent="0.35">
      <c r="B8" s="29" t="s">
        <v>106</v>
      </c>
      <c r="C8" s="30">
        <v>0.1111</v>
      </c>
      <c r="D8" s="30">
        <v>0.1111</v>
      </c>
      <c r="E8" s="30">
        <v>0.1111</v>
      </c>
      <c r="F8" s="30">
        <v>0.1111</v>
      </c>
      <c r="G8" s="30">
        <v>0.1111</v>
      </c>
      <c r="H8" s="30">
        <v>0.1111</v>
      </c>
      <c r="I8" s="30">
        <v>0.1111</v>
      </c>
      <c r="J8" s="30">
        <v>0.1111</v>
      </c>
      <c r="K8" s="30">
        <v>0.1111</v>
      </c>
      <c r="L8" s="16">
        <f>SUM(C8:K8)</f>
        <v>0.9998999999999999</v>
      </c>
    </row>
    <row r="9" spans="2:16" ht="15" customHeight="1" x14ac:dyDescent="0.35">
      <c r="B9" s="29" t="s">
        <v>107</v>
      </c>
      <c r="C9" s="30">
        <v>0.2</v>
      </c>
      <c r="D9" s="30">
        <v>0.2</v>
      </c>
      <c r="E9" s="30">
        <v>0.2</v>
      </c>
      <c r="F9" s="30">
        <v>0.08</v>
      </c>
      <c r="G9" s="30">
        <v>0.05</v>
      </c>
      <c r="H9" s="30">
        <v>7.0000000000000007E-2</v>
      </c>
      <c r="I9" s="30">
        <v>0.05</v>
      </c>
      <c r="J9" s="30">
        <v>0.1</v>
      </c>
      <c r="K9" s="30">
        <v>0.05</v>
      </c>
      <c r="L9" s="16">
        <f>SUM(C9:K9)</f>
        <v>1</v>
      </c>
    </row>
    <row r="10" spans="2:16" ht="15" customHeight="1" x14ac:dyDescent="0.35">
      <c r="B10" s="29" t="s">
        <v>108</v>
      </c>
      <c r="C10" s="30">
        <v>0.12</v>
      </c>
      <c r="D10" s="30">
        <v>0.12</v>
      </c>
      <c r="E10" s="30">
        <v>0.12</v>
      </c>
      <c r="F10" s="30">
        <v>0.2</v>
      </c>
      <c r="G10" s="30">
        <v>0.15</v>
      </c>
      <c r="H10" s="30">
        <v>0.08</v>
      </c>
      <c r="I10" s="30">
        <v>0.06</v>
      </c>
      <c r="J10" s="30">
        <v>0.1</v>
      </c>
      <c r="K10" s="30">
        <v>0.05</v>
      </c>
      <c r="L10" s="16">
        <f>SUM(C10:K10)</f>
        <v>1</v>
      </c>
    </row>
    <row r="11" spans="2:16" ht="21.75" customHeight="1" x14ac:dyDescent="0.35">
      <c r="B11" s="29" t="s">
        <v>109</v>
      </c>
      <c r="C11" s="30">
        <v>0.13</v>
      </c>
      <c r="D11" s="30">
        <v>0.18</v>
      </c>
      <c r="E11" s="30">
        <v>0.13</v>
      </c>
      <c r="F11" s="30">
        <v>0.1</v>
      </c>
      <c r="G11" s="30">
        <v>0.06</v>
      </c>
      <c r="H11" s="30">
        <v>0.08</v>
      </c>
      <c r="I11" s="30">
        <v>0.06</v>
      </c>
      <c r="J11" s="30">
        <v>0.06</v>
      </c>
      <c r="K11" s="30">
        <v>0.2</v>
      </c>
      <c r="L11" s="16">
        <f>SUM(C11:K11)</f>
        <v>1</v>
      </c>
    </row>
    <row r="14" spans="2:16" ht="15" customHeight="1" x14ac:dyDescent="0.35">
      <c r="B14" s="10" t="s">
        <v>110</v>
      </c>
    </row>
    <row r="15" spans="2:16" ht="25.5" customHeight="1" x14ac:dyDescent="0.35">
      <c r="B15" s="22" t="s">
        <v>64</v>
      </c>
      <c r="C15" s="19" t="s">
        <v>111</v>
      </c>
      <c r="D15" s="19" t="s">
        <v>112</v>
      </c>
      <c r="E15" s="19" t="s">
        <v>113</v>
      </c>
      <c r="F15" s="19" t="s">
        <v>114</v>
      </c>
      <c r="G15" s="19" t="s">
        <v>115</v>
      </c>
      <c r="H15" s="19" t="s">
        <v>116</v>
      </c>
      <c r="I15" s="19" t="s">
        <v>117</v>
      </c>
      <c r="J15" s="19" t="s">
        <v>118</v>
      </c>
      <c r="K15" s="19" t="s">
        <v>119</v>
      </c>
      <c r="L15" s="19" t="s">
        <v>120</v>
      </c>
      <c r="M15" s="19" t="s">
        <v>121</v>
      </c>
      <c r="N15" s="19" t="s">
        <v>122</v>
      </c>
      <c r="O15" s="19" t="s">
        <v>123</v>
      </c>
      <c r="P15" s="19" t="s">
        <v>124</v>
      </c>
    </row>
    <row r="16" spans="2:16" ht="15" customHeight="1" x14ac:dyDescent="0.35">
      <c r="B16" s="26" t="s">
        <v>74</v>
      </c>
      <c r="C16" s="27">
        <f>SUMPRODUCT(INDEX('Indicator Scores (0-100)'!$C$3:$K$22,MATCH($B16,'Indicator Scores (0-100)'!$B$3:$B$22,0),0),$C$7:$K$7)</f>
        <v>89.600000000000009</v>
      </c>
      <c r="D16" s="25">
        <f t="shared" ref="D16:D35" si="0">RANK(C16,$C$16:$C$35)</f>
        <v>1</v>
      </c>
      <c r="E16" s="27">
        <f>SUMPRODUCT(INDEX('Indicator Scores (0-100)'!$C$3:$K$22,MATCH($B16,'Indicator Scores (0-100)'!$B$3:$B$22,0),0),$C$8:$K$8)</f>
        <v>88.88000000000001</v>
      </c>
      <c r="F16" s="25">
        <f t="shared" ref="F16:F35" si="1">RANK(E16,$E$16:$E$35)</f>
        <v>1</v>
      </c>
      <c r="G16" s="27">
        <f>SUMPRODUCT(INDEX('Indicator Scores (0-100)'!$C$3:$K$22,MATCH($B16,'Indicator Scores (0-100)'!$B$3:$B$22,0),0),$C$9:$K$9)</f>
        <v>89.850000000000009</v>
      </c>
      <c r="H16" s="25">
        <f t="shared" ref="H16:H35" si="2">RANK(G16,$G$16:$G$35)</f>
        <v>2</v>
      </c>
      <c r="I16" s="27">
        <f>SUMPRODUCT(INDEX('Indicator Scores (0-100)'!$C$3:$K$22,MATCH($B16,'Indicator Scores (0-100)'!$B$3:$B$22,0),0),$C$10:$K$10)</f>
        <v>89.9</v>
      </c>
      <c r="J16" s="25">
        <f t="shared" ref="J16:J35" si="3">RANK(I16,$I$16:$I$35)</f>
        <v>1</v>
      </c>
      <c r="K16" s="27">
        <f>SUMPRODUCT(INDEX('Indicator Scores (0-100)'!$C$3:$K$22,MATCH($B16,'Indicator Scores (0-100)'!$B$3:$B$22,0),0),$C$11:$K$11)</f>
        <v>86.7</v>
      </c>
      <c r="L16" s="25">
        <f t="shared" ref="L16:L35" si="4">RANK(K16,$K$16:$K$35)</f>
        <v>2</v>
      </c>
      <c r="M16" s="25">
        <f t="shared" ref="M16:M35" si="5">MIN(D16,F16,H16,J16,L16)</f>
        <v>1</v>
      </c>
      <c r="N16" s="25">
        <f t="shared" ref="N16:N35" si="6">MAX(D16,F16,H16,J16,L16)</f>
        <v>2</v>
      </c>
      <c r="O16" s="25">
        <f t="shared" ref="O16:O35" si="7">N16-M16</f>
        <v>1</v>
      </c>
      <c r="P16" s="25" t="str">
        <f t="shared" ref="P16:P35" si="8">IF(O16&lt;=1,"Stable",IF(O16&lt;=3,"Moderate","Volatile"))</f>
        <v>Stable</v>
      </c>
    </row>
    <row r="17" spans="2:16" ht="15" customHeight="1" x14ac:dyDescent="0.35">
      <c r="B17" s="26" t="s">
        <v>75</v>
      </c>
      <c r="C17" s="27">
        <f>SUMPRODUCT(INDEX('Indicator Scores (0-100)'!$C$3:$K$22,MATCH($B17,'Indicator Scores (0-100)'!$B$3:$B$22,0),0),$C$7:$K$7)</f>
        <v>83.1</v>
      </c>
      <c r="D17" s="25">
        <f t="shared" si="0"/>
        <v>3</v>
      </c>
      <c r="E17" s="27">
        <f>SUMPRODUCT(INDEX('Indicator Scores (0-100)'!$C$3:$K$22,MATCH($B17,'Indicator Scores (0-100)'!$B$3:$B$22,0),0),$C$8:$K$8)</f>
        <v>82.213999999999999</v>
      </c>
      <c r="F17" s="25">
        <f t="shared" si="1"/>
        <v>3</v>
      </c>
      <c r="G17" s="27">
        <f>SUMPRODUCT(INDEX('Indicator Scores (0-100)'!$C$3:$K$22,MATCH($B17,'Indicator Scores (0-100)'!$B$3:$B$22,0),0),$C$9:$K$9)</f>
        <v>83.600000000000009</v>
      </c>
      <c r="H17" s="25">
        <f t="shared" si="2"/>
        <v>3</v>
      </c>
      <c r="I17" s="27">
        <f>SUMPRODUCT(INDEX('Indicator Scores (0-100)'!$C$3:$K$22,MATCH($B17,'Indicator Scores (0-100)'!$B$3:$B$22,0),0),$C$10:$K$10)</f>
        <v>83.5</v>
      </c>
      <c r="J17" s="25">
        <f t="shared" si="3"/>
        <v>3</v>
      </c>
      <c r="K17" s="27">
        <f>SUMPRODUCT(INDEX('Indicator Scores (0-100)'!$C$3:$K$22,MATCH($B17,'Indicator Scores (0-100)'!$B$3:$B$22,0),0),$C$11:$K$11)</f>
        <v>82.65</v>
      </c>
      <c r="L17" s="25">
        <f t="shared" si="4"/>
        <v>3</v>
      </c>
      <c r="M17" s="25">
        <f t="shared" si="5"/>
        <v>3</v>
      </c>
      <c r="N17" s="25">
        <f t="shared" si="6"/>
        <v>3</v>
      </c>
      <c r="O17" s="25">
        <f t="shared" si="7"/>
        <v>0</v>
      </c>
      <c r="P17" s="25" t="str">
        <f t="shared" si="8"/>
        <v>Stable</v>
      </c>
    </row>
    <row r="18" spans="2:16" ht="15" customHeight="1" x14ac:dyDescent="0.35">
      <c r="B18" s="26" t="s">
        <v>76</v>
      </c>
      <c r="C18" s="27">
        <f>SUMPRODUCT(INDEX('Indicator Scores (0-100)'!$C$3:$K$22,MATCH($B18,'Indicator Scores (0-100)'!$B$3:$B$22,0),0),$C$7:$K$7)</f>
        <v>76.100000000000009</v>
      </c>
      <c r="D18" s="25">
        <f t="shared" si="0"/>
        <v>4</v>
      </c>
      <c r="E18" s="27">
        <f>SUMPRODUCT(INDEX('Indicator Scores (0-100)'!$C$3:$K$22,MATCH($B18,'Indicator Scores (0-100)'!$B$3:$B$22,0),0),$C$8:$K$8)</f>
        <v>74.992499999999993</v>
      </c>
      <c r="F18" s="25">
        <f t="shared" si="1"/>
        <v>4</v>
      </c>
      <c r="G18" s="27">
        <f>SUMPRODUCT(INDEX('Indicator Scores (0-100)'!$C$3:$K$22,MATCH($B18,'Indicator Scores (0-100)'!$B$3:$B$22,0),0),$C$9:$K$9)</f>
        <v>76.55</v>
      </c>
      <c r="H18" s="25">
        <f t="shared" si="2"/>
        <v>4</v>
      </c>
      <c r="I18" s="27">
        <f>SUMPRODUCT(INDEX('Indicator Scores (0-100)'!$C$3:$K$22,MATCH($B18,'Indicator Scores (0-100)'!$B$3:$B$22,0),0),$C$10:$K$10)</f>
        <v>76.349999999999994</v>
      </c>
      <c r="J18" s="25">
        <f t="shared" si="3"/>
        <v>4</v>
      </c>
      <c r="K18" s="27">
        <f>SUMPRODUCT(INDEX('Indicator Scores (0-100)'!$C$3:$K$22,MATCH($B18,'Indicator Scores (0-100)'!$B$3:$B$22,0),0),$C$11:$K$11)</f>
        <v>73.650000000000006</v>
      </c>
      <c r="L18" s="25">
        <f t="shared" si="4"/>
        <v>5</v>
      </c>
      <c r="M18" s="25">
        <f t="shared" si="5"/>
        <v>4</v>
      </c>
      <c r="N18" s="25">
        <f t="shared" si="6"/>
        <v>5</v>
      </c>
      <c r="O18" s="25">
        <f t="shared" si="7"/>
        <v>1</v>
      </c>
      <c r="P18" s="25" t="str">
        <f t="shared" si="8"/>
        <v>Stable</v>
      </c>
    </row>
    <row r="19" spans="2:16" ht="15" customHeight="1" x14ac:dyDescent="0.35">
      <c r="B19" s="26" t="s">
        <v>77</v>
      </c>
      <c r="C19" s="27">
        <f>SUMPRODUCT(INDEX('Indicator Scores (0-100)'!$C$3:$K$22,MATCH($B19,'Indicator Scores (0-100)'!$B$3:$B$22,0),0),$C$7:$K$7)</f>
        <v>89.40000000000002</v>
      </c>
      <c r="D19" s="25">
        <f t="shared" si="0"/>
        <v>2</v>
      </c>
      <c r="E19" s="27">
        <f>SUMPRODUCT(INDEX('Indicator Scores (0-100)'!$C$3:$K$22,MATCH($B19,'Indicator Scores (0-100)'!$B$3:$B$22,0),0),$C$8:$K$8)</f>
        <v>87.769000000000005</v>
      </c>
      <c r="F19" s="25">
        <f t="shared" si="1"/>
        <v>2</v>
      </c>
      <c r="G19" s="27">
        <f>SUMPRODUCT(INDEX('Indicator Scores (0-100)'!$C$3:$K$22,MATCH($B19,'Indicator Scores (0-100)'!$B$3:$B$22,0),0),$C$9:$K$9)</f>
        <v>91.35</v>
      </c>
      <c r="H19" s="25">
        <f t="shared" si="2"/>
        <v>1</v>
      </c>
      <c r="I19" s="27">
        <f>SUMPRODUCT(INDEX('Indicator Scores (0-100)'!$C$3:$K$22,MATCH($B19,'Indicator Scores (0-100)'!$B$3:$B$22,0),0),$C$10:$K$10)</f>
        <v>87.45</v>
      </c>
      <c r="J19" s="25">
        <f t="shared" si="3"/>
        <v>2</v>
      </c>
      <c r="K19" s="27">
        <f>SUMPRODUCT(INDEX('Indicator Scores (0-100)'!$C$3:$K$22,MATCH($B19,'Indicator Scores (0-100)'!$B$3:$B$22,0),0),$C$11:$K$11)</f>
        <v>89.45</v>
      </c>
      <c r="L19" s="25">
        <f t="shared" si="4"/>
        <v>1</v>
      </c>
      <c r="M19" s="25">
        <f t="shared" si="5"/>
        <v>1</v>
      </c>
      <c r="N19" s="25">
        <f t="shared" si="6"/>
        <v>2</v>
      </c>
      <c r="O19" s="25">
        <f t="shared" si="7"/>
        <v>1</v>
      </c>
      <c r="P19" s="25" t="str">
        <f t="shared" si="8"/>
        <v>Stable</v>
      </c>
    </row>
    <row r="20" spans="2:16" ht="15" customHeight="1" x14ac:dyDescent="0.35">
      <c r="B20" s="26" t="s">
        <v>78</v>
      </c>
      <c r="C20" s="27">
        <f>SUMPRODUCT(INDEX('Indicator Scores (0-100)'!$C$3:$K$22,MATCH($B20,'Indicator Scores (0-100)'!$B$3:$B$22,0),0),$C$7:$K$7)</f>
        <v>67.2</v>
      </c>
      <c r="D20" s="25">
        <f t="shared" si="0"/>
        <v>6</v>
      </c>
      <c r="E20" s="27">
        <f>SUMPRODUCT(INDEX('Indicator Scores (0-100)'!$C$3:$K$22,MATCH($B20,'Indicator Scores (0-100)'!$B$3:$B$22,0),0),$C$8:$K$8)</f>
        <v>66.660000000000011</v>
      </c>
      <c r="F20" s="25">
        <f t="shared" si="1"/>
        <v>6</v>
      </c>
      <c r="G20" s="27">
        <f>SUMPRODUCT(INDEX('Indicator Scores (0-100)'!$C$3:$K$22,MATCH($B20,'Indicator Scores (0-100)'!$B$3:$B$22,0),0),$C$9:$K$9)</f>
        <v>67.650000000000006</v>
      </c>
      <c r="H20" s="25">
        <f t="shared" si="2"/>
        <v>7</v>
      </c>
      <c r="I20" s="27">
        <f>SUMPRODUCT(INDEX('Indicator Scores (0-100)'!$C$3:$K$22,MATCH($B20,'Indicator Scores (0-100)'!$B$3:$B$22,0),0),$C$10:$K$10)</f>
        <v>66.95</v>
      </c>
      <c r="J20" s="25">
        <f t="shared" si="3"/>
        <v>6</v>
      </c>
      <c r="K20" s="27">
        <f>SUMPRODUCT(INDEX('Indicator Scores (0-100)'!$C$3:$K$22,MATCH($B20,'Indicator Scores (0-100)'!$B$3:$B$22,0),0),$C$11:$K$11)</f>
        <v>67.550000000000011</v>
      </c>
      <c r="L20" s="25">
        <f t="shared" si="4"/>
        <v>8</v>
      </c>
      <c r="M20" s="25">
        <f t="shared" si="5"/>
        <v>6</v>
      </c>
      <c r="N20" s="25">
        <f t="shared" si="6"/>
        <v>8</v>
      </c>
      <c r="O20" s="25">
        <f t="shared" si="7"/>
        <v>2</v>
      </c>
      <c r="P20" s="25" t="str">
        <f t="shared" si="8"/>
        <v>Moderate</v>
      </c>
    </row>
    <row r="21" spans="2:16" ht="15" customHeight="1" x14ac:dyDescent="0.35">
      <c r="B21" s="26" t="s">
        <v>79</v>
      </c>
      <c r="C21" s="27">
        <f>SUMPRODUCT(INDEX('Indicator Scores (0-100)'!$C$3:$K$22,MATCH($B21,'Indicator Scores (0-100)'!$B$3:$B$22,0),0),$C$7:$K$7)</f>
        <v>69.849999999999994</v>
      </c>
      <c r="D21" s="25">
        <f t="shared" si="0"/>
        <v>5</v>
      </c>
      <c r="E21" s="27">
        <f>SUMPRODUCT(INDEX('Indicator Scores (0-100)'!$C$3:$K$22,MATCH($B21,'Indicator Scores (0-100)'!$B$3:$B$22,0),0),$C$8:$K$8)</f>
        <v>68.881999999999991</v>
      </c>
      <c r="F21" s="25">
        <f t="shared" si="1"/>
        <v>5</v>
      </c>
      <c r="G21" s="27">
        <f>SUMPRODUCT(INDEX('Indicator Scores (0-100)'!$C$3:$K$22,MATCH($B21,'Indicator Scores (0-100)'!$B$3:$B$22,0),0),$C$9:$K$9)</f>
        <v>72</v>
      </c>
      <c r="H21" s="25">
        <f t="shared" si="2"/>
        <v>5</v>
      </c>
      <c r="I21" s="27">
        <f>SUMPRODUCT(INDEX('Indicator Scores (0-100)'!$C$3:$K$22,MATCH($B21,'Indicator Scores (0-100)'!$B$3:$B$22,0),0),$C$10:$K$10)</f>
        <v>67.599999999999994</v>
      </c>
      <c r="J21" s="25">
        <f t="shared" si="3"/>
        <v>5</v>
      </c>
      <c r="K21" s="27">
        <f>SUMPRODUCT(INDEX('Indicator Scores (0-100)'!$C$3:$K$22,MATCH($B21,'Indicator Scores (0-100)'!$B$3:$B$22,0),0),$C$11:$K$11)</f>
        <v>74.349999999999994</v>
      </c>
      <c r="L21" s="25">
        <f t="shared" si="4"/>
        <v>4</v>
      </c>
      <c r="M21" s="25">
        <f t="shared" si="5"/>
        <v>4</v>
      </c>
      <c r="N21" s="25">
        <f t="shared" si="6"/>
        <v>5</v>
      </c>
      <c r="O21" s="25">
        <f t="shared" si="7"/>
        <v>1</v>
      </c>
      <c r="P21" s="25" t="str">
        <f t="shared" si="8"/>
        <v>Stable</v>
      </c>
    </row>
    <row r="22" spans="2:16" ht="15" customHeight="1" x14ac:dyDescent="0.35">
      <c r="B22" s="26" t="s">
        <v>80</v>
      </c>
      <c r="C22" s="27">
        <f>SUMPRODUCT(INDEX('Indicator Scores (0-100)'!$C$3:$K$22,MATCH($B22,'Indicator Scores (0-100)'!$B$3:$B$22,0),0),$C$7:$K$7)</f>
        <v>65.8</v>
      </c>
      <c r="D22" s="25">
        <f t="shared" si="0"/>
        <v>8</v>
      </c>
      <c r="E22" s="27">
        <f>SUMPRODUCT(INDEX('Indicator Scores (0-100)'!$C$3:$K$22,MATCH($B22,'Indicator Scores (0-100)'!$B$3:$B$22,0),0),$C$8:$K$8)</f>
        <v>64.438000000000002</v>
      </c>
      <c r="F22" s="25">
        <f t="shared" si="1"/>
        <v>9</v>
      </c>
      <c r="G22" s="27">
        <f>SUMPRODUCT(INDEX('Indicator Scores (0-100)'!$C$3:$K$22,MATCH($B22,'Indicator Scores (0-100)'!$B$3:$B$22,0),0),$C$9:$K$9)</f>
        <v>68.5</v>
      </c>
      <c r="H22" s="25">
        <f t="shared" si="2"/>
        <v>6</v>
      </c>
      <c r="I22" s="27">
        <f>SUMPRODUCT(INDEX('Indicator Scores (0-100)'!$C$3:$K$22,MATCH($B22,'Indicator Scores (0-100)'!$B$3:$B$22,0),0),$C$10:$K$10)</f>
        <v>62.8</v>
      </c>
      <c r="J22" s="25">
        <f t="shared" si="3"/>
        <v>9</v>
      </c>
      <c r="K22" s="27">
        <f>SUMPRODUCT(INDEX('Indicator Scores (0-100)'!$C$3:$K$22,MATCH($B22,'Indicator Scores (0-100)'!$B$3:$B$22,0),0),$C$11:$K$11)</f>
        <v>71.05</v>
      </c>
      <c r="L22" s="25">
        <f t="shared" si="4"/>
        <v>6</v>
      </c>
      <c r="M22" s="25">
        <f t="shared" si="5"/>
        <v>6</v>
      </c>
      <c r="N22" s="25">
        <f t="shared" si="6"/>
        <v>9</v>
      </c>
      <c r="O22" s="25">
        <f t="shared" si="7"/>
        <v>3</v>
      </c>
      <c r="P22" s="25" t="str">
        <f t="shared" si="8"/>
        <v>Moderate</v>
      </c>
    </row>
    <row r="23" spans="2:16" ht="15" customHeight="1" x14ac:dyDescent="0.35">
      <c r="B23" s="26" t="s">
        <v>81</v>
      </c>
      <c r="C23" s="27">
        <f>SUMPRODUCT(INDEX('Indicator Scores (0-100)'!$C$3:$K$22,MATCH($B23,'Indicator Scores (0-100)'!$B$3:$B$22,0),0),$C$7:$K$7)</f>
        <v>56.85</v>
      </c>
      <c r="D23" s="25">
        <f t="shared" si="0"/>
        <v>13</v>
      </c>
      <c r="E23" s="27">
        <f>SUMPRODUCT(INDEX('Indicator Scores (0-100)'!$C$3:$K$22,MATCH($B23,'Indicator Scores (0-100)'!$B$3:$B$22,0),0),$C$8:$K$8)</f>
        <v>57.216500000000003</v>
      </c>
      <c r="F23" s="25">
        <f t="shared" si="1"/>
        <v>13</v>
      </c>
      <c r="G23" s="27">
        <f>SUMPRODUCT(INDEX('Indicator Scores (0-100)'!$C$3:$K$22,MATCH($B23,'Indicator Scores (0-100)'!$B$3:$B$22,0),0),$C$9:$K$9)</f>
        <v>56.050000000000004</v>
      </c>
      <c r="H23" s="25">
        <f t="shared" si="2"/>
        <v>13</v>
      </c>
      <c r="I23" s="27">
        <f>SUMPRODUCT(INDEX('Indicator Scores (0-100)'!$C$3:$K$22,MATCH($B23,'Indicator Scores (0-100)'!$B$3:$B$22,0),0),$C$10:$K$10)</f>
        <v>57.7</v>
      </c>
      <c r="J23" s="25">
        <f t="shared" si="3"/>
        <v>13</v>
      </c>
      <c r="K23" s="27">
        <f>SUMPRODUCT(INDEX('Indicator Scores (0-100)'!$C$3:$K$22,MATCH($B23,'Indicator Scores (0-100)'!$B$3:$B$22,0),0),$C$11:$K$11)</f>
        <v>55</v>
      </c>
      <c r="L23" s="25">
        <f t="shared" si="4"/>
        <v>13</v>
      </c>
      <c r="M23" s="25">
        <f t="shared" si="5"/>
        <v>13</v>
      </c>
      <c r="N23" s="25">
        <f t="shared" si="6"/>
        <v>13</v>
      </c>
      <c r="O23" s="25">
        <f t="shared" si="7"/>
        <v>0</v>
      </c>
      <c r="P23" s="25" t="str">
        <f t="shared" si="8"/>
        <v>Stable</v>
      </c>
    </row>
    <row r="24" spans="2:16" ht="15" customHeight="1" x14ac:dyDescent="0.35">
      <c r="B24" s="26" t="s">
        <v>82</v>
      </c>
      <c r="C24" s="27">
        <f>SUMPRODUCT(INDEX('Indicator Scores (0-100)'!$C$3:$K$22,MATCH($B24,'Indicator Scores (0-100)'!$B$3:$B$22,0),0),$C$7:$K$7)</f>
        <v>62.449999999999996</v>
      </c>
      <c r="D24" s="25">
        <f t="shared" si="0"/>
        <v>10</v>
      </c>
      <c r="E24" s="27">
        <f>SUMPRODUCT(INDEX('Indicator Scores (0-100)'!$C$3:$K$22,MATCH($B24,'Indicator Scores (0-100)'!$B$3:$B$22,0),0),$C$8:$K$8)</f>
        <v>62.215999999999994</v>
      </c>
      <c r="F24" s="25">
        <f t="shared" si="1"/>
        <v>10</v>
      </c>
      <c r="G24" s="27">
        <f>SUMPRODUCT(INDEX('Indicator Scores (0-100)'!$C$3:$K$22,MATCH($B24,'Indicator Scores (0-100)'!$B$3:$B$22,0),0),$C$9:$K$9)</f>
        <v>63.5</v>
      </c>
      <c r="H24" s="25">
        <f t="shared" si="2"/>
        <v>10</v>
      </c>
      <c r="I24" s="27">
        <f>SUMPRODUCT(INDEX('Indicator Scores (0-100)'!$C$3:$K$22,MATCH($B24,'Indicator Scores (0-100)'!$B$3:$B$22,0),0),$C$10:$K$10)</f>
        <v>61.25</v>
      </c>
      <c r="J24" s="25">
        <f t="shared" si="3"/>
        <v>11</v>
      </c>
      <c r="K24" s="27">
        <f>SUMPRODUCT(INDEX('Indicator Scores (0-100)'!$C$3:$K$22,MATCH($B24,'Indicator Scores (0-100)'!$B$3:$B$22,0),0),$C$11:$K$11)</f>
        <v>64.400000000000006</v>
      </c>
      <c r="L24" s="25">
        <f t="shared" si="4"/>
        <v>9</v>
      </c>
      <c r="M24" s="25">
        <f t="shared" si="5"/>
        <v>9</v>
      </c>
      <c r="N24" s="25">
        <f t="shared" si="6"/>
        <v>11</v>
      </c>
      <c r="O24" s="25">
        <f t="shared" si="7"/>
        <v>2</v>
      </c>
      <c r="P24" s="25" t="str">
        <f t="shared" si="8"/>
        <v>Moderate</v>
      </c>
    </row>
    <row r="25" spans="2:16" ht="15" customHeight="1" x14ac:dyDescent="0.35">
      <c r="B25" s="26" t="s">
        <v>83</v>
      </c>
      <c r="C25" s="27">
        <f>SUMPRODUCT(INDEX('Indicator Scores (0-100)'!$C$3:$K$22,MATCH($B25,'Indicator Scores (0-100)'!$B$3:$B$22,0),0),$C$7:$K$7)</f>
        <v>49.65</v>
      </c>
      <c r="D25" s="25">
        <f t="shared" si="0"/>
        <v>17</v>
      </c>
      <c r="E25" s="27">
        <f>SUMPRODUCT(INDEX('Indicator Scores (0-100)'!$C$3:$K$22,MATCH($B25,'Indicator Scores (0-100)'!$B$3:$B$22,0),0),$C$8:$K$8)</f>
        <v>49.994999999999997</v>
      </c>
      <c r="F25" s="25">
        <f t="shared" si="1"/>
        <v>17</v>
      </c>
      <c r="G25" s="27">
        <f>SUMPRODUCT(INDEX('Indicator Scores (0-100)'!$C$3:$K$22,MATCH($B25,'Indicator Scores (0-100)'!$B$3:$B$22,0),0),$C$9:$K$9)</f>
        <v>48.75</v>
      </c>
      <c r="H25" s="25">
        <f t="shared" si="2"/>
        <v>17</v>
      </c>
      <c r="I25" s="27">
        <f>SUMPRODUCT(INDEX('Indicator Scores (0-100)'!$C$3:$K$22,MATCH($B25,'Indicator Scores (0-100)'!$B$3:$B$22,0),0),$C$10:$K$10)</f>
        <v>50.249999999999993</v>
      </c>
      <c r="J25" s="25">
        <f t="shared" si="3"/>
        <v>17</v>
      </c>
      <c r="K25" s="27">
        <f>SUMPRODUCT(INDEX('Indicator Scores (0-100)'!$C$3:$K$22,MATCH($B25,'Indicator Scores (0-100)'!$B$3:$B$22,0),0),$C$11:$K$11)</f>
        <v>47.65</v>
      </c>
      <c r="L25" s="25">
        <f t="shared" si="4"/>
        <v>17</v>
      </c>
      <c r="M25" s="25">
        <f t="shared" si="5"/>
        <v>17</v>
      </c>
      <c r="N25" s="25">
        <f t="shared" si="6"/>
        <v>17</v>
      </c>
      <c r="O25" s="25">
        <f t="shared" si="7"/>
        <v>0</v>
      </c>
      <c r="P25" s="25" t="str">
        <f t="shared" si="8"/>
        <v>Stable</v>
      </c>
    </row>
    <row r="26" spans="2:16" ht="15" customHeight="1" x14ac:dyDescent="0.35">
      <c r="B26" s="26" t="s">
        <v>84</v>
      </c>
      <c r="C26" s="27">
        <f>SUMPRODUCT(INDEX('Indicator Scores (0-100)'!$C$3:$K$22,MATCH($B26,'Indicator Scores (0-100)'!$B$3:$B$22,0),0),$C$7:$K$7)</f>
        <v>51.75</v>
      </c>
      <c r="D26" s="25">
        <f t="shared" si="0"/>
        <v>15</v>
      </c>
      <c r="E26" s="27">
        <f>SUMPRODUCT(INDEX('Indicator Scores (0-100)'!$C$3:$K$22,MATCH($B26,'Indicator Scores (0-100)'!$B$3:$B$22,0),0),$C$8:$K$8)</f>
        <v>53.883499999999998</v>
      </c>
      <c r="F26" s="25">
        <f t="shared" si="1"/>
        <v>14</v>
      </c>
      <c r="G26" s="27">
        <f>SUMPRODUCT(INDEX('Indicator Scores (0-100)'!$C$3:$K$22,MATCH($B26,'Indicator Scores (0-100)'!$B$3:$B$22,0),0),$C$9:$K$9)</f>
        <v>48.849999999999994</v>
      </c>
      <c r="H26" s="25">
        <f t="shared" si="2"/>
        <v>16</v>
      </c>
      <c r="I26" s="27">
        <f>SUMPRODUCT(INDEX('Indicator Scores (0-100)'!$C$3:$K$22,MATCH($B26,'Indicator Scores (0-100)'!$B$3:$B$22,0),0),$C$10:$K$10)</f>
        <v>53.300000000000004</v>
      </c>
      <c r="J26" s="25">
        <f t="shared" si="3"/>
        <v>14</v>
      </c>
      <c r="K26" s="27">
        <f>SUMPRODUCT(INDEX('Indicator Scores (0-100)'!$C$3:$K$22,MATCH($B26,'Indicator Scores (0-100)'!$B$3:$B$22,0),0),$C$11:$K$11)</f>
        <v>50.95</v>
      </c>
      <c r="L26" s="25">
        <f t="shared" si="4"/>
        <v>16</v>
      </c>
      <c r="M26" s="25">
        <f t="shared" si="5"/>
        <v>14</v>
      </c>
      <c r="N26" s="25">
        <f t="shared" si="6"/>
        <v>16</v>
      </c>
      <c r="O26" s="25">
        <f t="shared" si="7"/>
        <v>2</v>
      </c>
      <c r="P26" s="25" t="str">
        <f t="shared" si="8"/>
        <v>Moderate</v>
      </c>
    </row>
    <row r="27" spans="2:16" ht="15" customHeight="1" x14ac:dyDescent="0.35">
      <c r="B27" s="26" t="s">
        <v>85</v>
      </c>
      <c r="C27" s="27">
        <f>SUMPRODUCT(INDEX('Indicator Scores (0-100)'!$C$3:$K$22,MATCH($B27,'Indicator Scores (0-100)'!$B$3:$B$22,0),0),$C$7:$K$7)</f>
        <v>47.3</v>
      </c>
      <c r="D27" s="25">
        <f t="shared" si="0"/>
        <v>18</v>
      </c>
      <c r="E27" s="27">
        <f>SUMPRODUCT(INDEX('Indicator Scores (0-100)'!$C$3:$K$22,MATCH($B27,'Indicator Scores (0-100)'!$B$3:$B$22,0),0),$C$8:$K$8)</f>
        <v>49.439500000000002</v>
      </c>
      <c r="F27" s="25">
        <f t="shared" si="1"/>
        <v>18</v>
      </c>
      <c r="G27" s="27">
        <f>SUMPRODUCT(INDEX('Indicator Scores (0-100)'!$C$3:$K$22,MATCH($B27,'Indicator Scores (0-100)'!$B$3:$B$22,0),0),$C$9:$K$9)</f>
        <v>43.8</v>
      </c>
      <c r="H27" s="25">
        <f t="shared" si="2"/>
        <v>18</v>
      </c>
      <c r="I27" s="27">
        <f>SUMPRODUCT(INDEX('Indicator Scores (0-100)'!$C$3:$K$22,MATCH($B27,'Indicator Scores (0-100)'!$B$3:$B$22,0),0),$C$10:$K$10)</f>
        <v>49.45</v>
      </c>
      <c r="J27" s="25">
        <f t="shared" si="3"/>
        <v>18</v>
      </c>
      <c r="K27" s="27">
        <f>SUMPRODUCT(INDEX('Indicator Scores (0-100)'!$C$3:$K$22,MATCH($B27,'Indicator Scores (0-100)'!$B$3:$B$22,0),0),$C$11:$K$11)</f>
        <v>44.85</v>
      </c>
      <c r="L27" s="25">
        <f t="shared" si="4"/>
        <v>18</v>
      </c>
      <c r="M27" s="25">
        <f t="shared" si="5"/>
        <v>18</v>
      </c>
      <c r="N27" s="25">
        <f t="shared" si="6"/>
        <v>18</v>
      </c>
      <c r="O27" s="25">
        <f t="shared" si="7"/>
        <v>0</v>
      </c>
      <c r="P27" s="25" t="str">
        <f t="shared" si="8"/>
        <v>Stable</v>
      </c>
    </row>
    <row r="28" spans="2:16" ht="15" customHeight="1" x14ac:dyDescent="0.35">
      <c r="B28" s="26" t="s">
        <v>86</v>
      </c>
      <c r="C28" s="27">
        <f>SUMPRODUCT(INDEX('Indicator Scores (0-100)'!$C$3:$K$22,MATCH($B28,'Indicator Scores (0-100)'!$B$3:$B$22,0),0),$C$7:$K$7)</f>
        <v>40.1</v>
      </c>
      <c r="D28" s="25">
        <f t="shared" si="0"/>
        <v>20</v>
      </c>
      <c r="E28" s="27">
        <f>SUMPRODUCT(INDEX('Indicator Scores (0-100)'!$C$3:$K$22,MATCH($B28,'Indicator Scores (0-100)'!$B$3:$B$22,0),0),$C$8:$K$8)</f>
        <v>41.662500000000001</v>
      </c>
      <c r="F28" s="25">
        <f t="shared" si="1"/>
        <v>20</v>
      </c>
      <c r="G28" s="27">
        <f>SUMPRODUCT(INDEX('Indicator Scores (0-100)'!$C$3:$K$22,MATCH($B28,'Indicator Scores (0-100)'!$B$3:$B$22,0),0),$C$9:$K$9)</f>
        <v>37.5</v>
      </c>
      <c r="H28" s="25">
        <f t="shared" si="2"/>
        <v>20</v>
      </c>
      <c r="I28" s="27">
        <f>SUMPRODUCT(INDEX('Indicator Scores (0-100)'!$C$3:$K$22,MATCH($B28,'Indicator Scores (0-100)'!$B$3:$B$22,0),0),$C$10:$K$10)</f>
        <v>42.4</v>
      </c>
      <c r="J28" s="25">
        <f t="shared" si="3"/>
        <v>20</v>
      </c>
      <c r="K28" s="27">
        <f>SUMPRODUCT(INDEX('Indicator Scores (0-100)'!$C$3:$K$22,MATCH($B28,'Indicator Scores (0-100)'!$B$3:$B$22,0),0),$C$11:$K$11)</f>
        <v>37.799999999999997</v>
      </c>
      <c r="L28" s="25">
        <f t="shared" si="4"/>
        <v>20</v>
      </c>
      <c r="M28" s="25">
        <f t="shared" si="5"/>
        <v>20</v>
      </c>
      <c r="N28" s="25">
        <f t="shared" si="6"/>
        <v>20</v>
      </c>
      <c r="O28" s="25">
        <f t="shared" si="7"/>
        <v>0</v>
      </c>
      <c r="P28" s="25" t="str">
        <f t="shared" si="8"/>
        <v>Stable</v>
      </c>
    </row>
    <row r="29" spans="2:16" ht="15" customHeight="1" x14ac:dyDescent="0.35">
      <c r="B29" s="26" t="s">
        <v>87</v>
      </c>
      <c r="C29" s="27">
        <f>SUMPRODUCT(INDEX('Indicator Scores (0-100)'!$C$3:$K$22,MATCH($B29,'Indicator Scores (0-100)'!$B$3:$B$22,0),0),$C$7:$K$7)</f>
        <v>64.900000000000006</v>
      </c>
      <c r="D29" s="25">
        <f t="shared" si="0"/>
        <v>9</v>
      </c>
      <c r="E29" s="27">
        <f>SUMPRODUCT(INDEX('Indicator Scores (0-100)'!$C$3:$K$22,MATCH($B29,'Indicator Scores (0-100)'!$B$3:$B$22,0),0),$C$8:$K$8)</f>
        <v>64.993499999999997</v>
      </c>
      <c r="F29" s="25">
        <f t="shared" si="1"/>
        <v>8</v>
      </c>
      <c r="G29" s="27">
        <f>SUMPRODUCT(INDEX('Indicator Scores (0-100)'!$C$3:$K$22,MATCH($B29,'Indicator Scores (0-100)'!$B$3:$B$22,0),0),$C$9:$K$9)</f>
        <v>64.45</v>
      </c>
      <c r="H29" s="25">
        <f t="shared" si="2"/>
        <v>9</v>
      </c>
      <c r="I29" s="27">
        <f>SUMPRODUCT(INDEX('Indicator Scores (0-100)'!$C$3:$K$22,MATCH($B29,'Indicator Scores (0-100)'!$B$3:$B$22,0),0),$C$10:$K$10)</f>
        <v>64.949999999999989</v>
      </c>
      <c r="J29" s="25">
        <f t="shared" si="3"/>
        <v>8</v>
      </c>
      <c r="K29" s="27">
        <f>SUMPRODUCT(INDEX('Indicator Scores (0-100)'!$C$3:$K$22,MATCH($B29,'Indicator Scores (0-100)'!$B$3:$B$22,0),0),$C$11:$K$11)</f>
        <v>64.150000000000006</v>
      </c>
      <c r="L29" s="25">
        <f t="shared" si="4"/>
        <v>10</v>
      </c>
      <c r="M29" s="25">
        <f t="shared" si="5"/>
        <v>8</v>
      </c>
      <c r="N29" s="25">
        <f t="shared" si="6"/>
        <v>10</v>
      </c>
      <c r="O29" s="25">
        <f t="shared" si="7"/>
        <v>2</v>
      </c>
      <c r="P29" s="25" t="str">
        <f t="shared" si="8"/>
        <v>Moderate</v>
      </c>
    </row>
    <row r="30" spans="2:16" ht="15" customHeight="1" x14ac:dyDescent="0.35">
      <c r="B30" s="26" t="s">
        <v>88</v>
      </c>
      <c r="C30" s="27">
        <f>SUMPRODUCT(INDEX('Indicator Scores (0-100)'!$C$3:$K$22,MATCH($B30,'Indicator Scores (0-100)'!$B$3:$B$22,0),0),$C$7:$K$7)</f>
        <v>66.19</v>
      </c>
      <c r="D30" s="25">
        <f t="shared" si="0"/>
        <v>7</v>
      </c>
      <c r="E30" s="27">
        <f>SUMPRODUCT(INDEX('Indicator Scores (0-100)'!$C$3:$K$22,MATCH($B30,'Indicator Scores (0-100)'!$B$3:$B$22,0),0),$C$8:$K$8)</f>
        <v>66.43780000000001</v>
      </c>
      <c r="F30" s="25">
        <f t="shared" si="1"/>
        <v>7</v>
      </c>
      <c r="G30" s="27">
        <f>SUMPRODUCT(INDEX('Indicator Scores (0-100)'!$C$3:$K$22,MATCH($B30,'Indicator Scores (0-100)'!$B$3:$B$22,0),0),$C$9:$K$9)</f>
        <v>66.5</v>
      </c>
      <c r="H30" s="25">
        <f t="shared" si="2"/>
        <v>8</v>
      </c>
      <c r="I30" s="27">
        <f>SUMPRODUCT(INDEX('Indicator Scores (0-100)'!$C$3:$K$22,MATCH($B30,'Indicator Scores (0-100)'!$B$3:$B$22,0),0),$C$10:$K$10)</f>
        <v>65.400000000000006</v>
      </c>
      <c r="J30" s="25">
        <f t="shared" si="3"/>
        <v>7</v>
      </c>
      <c r="K30" s="27">
        <f>SUMPRODUCT(INDEX('Indicator Scores (0-100)'!$C$3:$K$22,MATCH($B30,'Indicator Scores (0-100)'!$B$3:$B$22,0),0),$C$11:$K$11)</f>
        <v>68.88</v>
      </c>
      <c r="L30" s="25">
        <f t="shared" si="4"/>
        <v>7</v>
      </c>
      <c r="M30" s="25">
        <f t="shared" si="5"/>
        <v>7</v>
      </c>
      <c r="N30" s="25">
        <f t="shared" si="6"/>
        <v>8</v>
      </c>
      <c r="O30" s="25">
        <f t="shared" si="7"/>
        <v>1</v>
      </c>
      <c r="P30" s="25" t="str">
        <f t="shared" si="8"/>
        <v>Stable</v>
      </c>
    </row>
    <row r="31" spans="2:16" ht="15" customHeight="1" x14ac:dyDescent="0.35">
      <c r="B31" s="26" t="s">
        <v>89</v>
      </c>
      <c r="C31" s="27">
        <f>SUMPRODUCT(INDEX('Indicator Scores (0-100)'!$C$3:$K$22,MATCH($B31,'Indicator Scores (0-100)'!$B$3:$B$22,0),0),$C$7:$K$7)</f>
        <v>62.000000000000007</v>
      </c>
      <c r="D31" s="25">
        <f t="shared" si="0"/>
        <v>11</v>
      </c>
      <c r="E31" s="27">
        <f>SUMPRODUCT(INDEX('Indicator Scores (0-100)'!$C$3:$K$22,MATCH($B31,'Indicator Scores (0-100)'!$B$3:$B$22,0),0),$C$8:$K$8)</f>
        <v>62.215999999999994</v>
      </c>
      <c r="F31" s="25">
        <f t="shared" si="1"/>
        <v>10</v>
      </c>
      <c r="G31" s="27">
        <f>SUMPRODUCT(INDEX('Indicator Scores (0-100)'!$C$3:$K$22,MATCH($B31,'Indicator Scores (0-100)'!$B$3:$B$22,0),0),$C$9:$K$9)</f>
        <v>61.85</v>
      </c>
      <c r="H31" s="25">
        <f t="shared" si="2"/>
        <v>11</v>
      </c>
      <c r="I31" s="27">
        <f>SUMPRODUCT(INDEX('Indicator Scores (0-100)'!$C$3:$K$22,MATCH($B31,'Indicator Scores (0-100)'!$B$3:$B$22,0),0),$C$10:$K$10)</f>
        <v>61</v>
      </c>
      <c r="J31" s="25">
        <f t="shared" si="3"/>
        <v>12</v>
      </c>
      <c r="K31" s="27">
        <f>SUMPRODUCT(INDEX('Indicator Scores (0-100)'!$C$3:$K$22,MATCH($B31,'Indicator Scores (0-100)'!$B$3:$B$22,0),0),$C$11:$K$11)</f>
        <v>59.599999999999994</v>
      </c>
      <c r="L31" s="25">
        <f t="shared" si="4"/>
        <v>12</v>
      </c>
      <c r="M31" s="25">
        <f t="shared" si="5"/>
        <v>10</v>
      </c>
      <c r="N31" s="25">
        <f t="shared" si="6"/>
        <v>12</v>
      </c>
      <c r="O31" s="25">
        <f t="shared" si="7"/>
        <v>2</v>
      </c>
      <c r="P31" s="25" t="str">
        <f t="shared" si="8"/>
        <v>Moderate</v>
      </c>
    </row>
    <row r="32" spans="2:16" ht="15" customHeight="1" x14ac:dyDescent="0.35">
      <c r="B32" s="26" t="s">
        <v>90</v>
      </c>
      <c r="C32" s="27">
        <f>SUMPRODUCT(INDEX('Indicator Scores (0-100)'!$C$3:$K$22,MATCH($B32,'Indicator Scores (0-100)'!$B$3:$B$22,0),0),$C$7:$K$7)</f>
        <v>51.099999999999994</v>
      </c>
      <c r="D32" s="25">
        <f t="shared" si="0"/>
        <v>16</v>
      </c>
      <c r="E32" s="27">
        <f>SUMPRODUCT(INDEX('Indicator Scores (0-100)'!$C$3:$K$22,MATCH($B32,'Indicator Scores (0-100)'!$B$3:$B$22,0),0),$C$8:$K$8)</f>
        <v>52.216999999999999</v>
      </c>
      <c r="F32" s="25">
        <f t="shared" si="1"/>
        <v>16</v>
      </c>
      <c r="G32" s="27">
        <f>SUMPRODUCT(INDEX('Indicator Scores (0-100)'!$C$3:$K$22,MATCH($B32,'Indicator Scores (0-100)'!$B$3:$B$22,0),0),$C$9:$K$9)</f>
        <v>49.6</v>
      </c>
      <c r="H32" s="25">
        <f t="shared" si="2"/>
        <v>15</v>
      </c>
      <c r="I32" s="27">
        <f>SUMPRODUCT(INDEX('Indicator Scores (0-100)'!$C$3:$K$22,MATCH($B32,'Indicator Scores (0-100)'!$B$3:$B$22,0),0),$C$10:$K$10)</f>
        <v>51.749999999999993</v>
      </c>
      <c r="J32" s="25">
        <f t="shared" si="3"/>
        <v>16</v>
      </c>
      <c r="K32" s="27">
        <f>SUMPRODUCT(INDEX('Indicator Scores (0-100)'!$C$3:$K$22,MATCH($B32,'Indicator Scores (0-100)'!$B$3:$B$22,0),0),$C$11:$K$11)</f>
        <v>52.349999999999994</v>
      </c>
      <c r="L32" s="25">
        <f t="shared" si="4"/>
        <v>14</v>
      </c>
      <c r="M32" s="25">
        <f t="shared" si="5"/>
        <v>14</v>
      </c>
      <c r="N32" s="25">
        <f t="shared" si="6"/>
        <v>16</v>
      </c>
      <c r="O32" s="25">
        <f t="shared" si="7"/>
        <v>2</v>
      </c>
      <c r="P32" s="25" t="str">
        <f t="shared" si="8"/>
        <v>Moderate</v>
      </c>
    </row>
    <row r="33" spans="2:16" ht="15" customHeight="1" x14ac:dyDescent="0.35">
      <c r="B33" s="26" t="s">
        <v>91</v>
      </c>
      <c r="C33" s="27">
        <f>SUMPRODUCT(INDEX('Indicator Scores (0-100)'!$C$3:$K$22,MATCH($B33,'Indicator Scores (0-100)'!$B$3:$B$22,0),0),$C$7:$K$7)</f>
        <v>61.599999999999994</v>
      </c>
      <c r="D33" s="25">
        <f t="shared" si="0"/>
        <v>12</v>
      </c>
      <c r="E33" s="27">
        <f>SUMPRODUCT(INDEX('Indicator Scores (0-100)'!$C$3:$K$22,MATCH($B33,'Indicator Scores (0-100)'!$B$3:$B$22,0),0),$C$8:$K$8)</f>
        <v>61.660499999999999</v>
      </c>
      <c r="F33" s="25">
        <f t="shared" si="1"/>
        <v>12</v>
      </c>
      <c r="G33" s="27">
        <f>SUMPRODUCT(INDEX('Indicator Scores (0-100)'!$C$3:$K$22,MATCH($B33,'Indicator Scores (0-100)'!$B$3:$B$22,0),0),$C$9:$K$9)</f>
        <v>61.650000000000006</v>
      </c>
      <c r="H33" s="25">
        <f t="shared" si="2"/>
        <v>12</v>
      </c>
      <c r="I33" s="27">
        <f>SUMPRODUCT(INDEX('Indicator Scores (0-100)'!$C$3:$K$22,MATCH($B33,'Indicator Scores (0-100)'!$B$3:$B$22,0),0),$C$10:$K$10)</f>
        <v>61.3</v>
      </c>
      <c r="J33" s="25">
        <f t="shared" si="3"/>
        <v>10</v>
      </c>
      <c r="K33" s="27">
        <f>SUMPRODUCT(INDEX('Indicator Scores (0-100)'!$C$3:$K$22,MATCH($B33,'Indicator Scores (0-100)'!$B$3:$B$22,0),0),$C$11:$K$11)</f>
        <v>64.049999999999983</v>
      </c>
      <c r="L33" s="25">
        <f t="shared" si="4"/>
        <v>11</v>
      </c>
      <c r="M33" s="25">
        <f t="shared" si="5"/>
        <v>10</v>
      </c>
      <c r="N33" s="25">
        <f t="shared" si="6"/>
        <v>12</v>
      </c>
      <c r="O33" s="25">
        <f t="shared" si="7"/>
        <v>2</v>
      </c>
      <c r="P33" s="25" t="str">
        <f t="shared" si="8"/>
        <v>Moderate</v>
      </c>
    </row>
    <row r="34" spans="2:16" ht="15" customHeight="1" x14ac:dyDescent="0.35">
      <c r="B34" s="26" t="s">
        <v>92</v>
      </c>
      <c r="C34" s="27">
        <f>SUMPRODUCT(INDEX('Indicator Scores (0-100)'!$C$3:$K$22,MATCH($B34,'Indicator Scores (0-100)'!$B$3:$B$22,0),0),$C$7:$K$7)</f>
        <v>40.950000000000003</v>
      </c>
      <c r="D34" s="25">
        <f t="shared" si="0"/>
        <v>19</v>
      </c>
      <c r="E34" s="27">
        <f>SUMPRODUCT(INDEX('Indicator Scores (0-100)'!$C$3:$K$22,MATCH($B34,'Indicator Scores (0-100)'!$B$3:$B$22,0),0),$C$8:$K$8)</f>
        <v>42.218000000000004</v>
      </c>
      <c r="F34" s="25">
        <f t="shared" si="1"/>
        <v>19</v>
      </c>
      <c r="G34" s="27">
        <f>SUMPRODUCT(INDEX('Indicator Scores (0-100)'!$C$3:$K$22,MATCH($B34,'Indicator Scores (0-100)'!$B$3:$B$22,0),0),$C$9:$K$9)</f>
        <v>37.900000000000006</v>
      </c>
      <c r="H34" s="25">
        <f t="shared" si="2"/>
        <v>19</v>
      </c>
      <c r="I34" s="27">
        <f>SUMPRODUCT(INDEX('Indicator Scores (0-100)'!$C$3:$K$22,MATCH($B34,'Indicator Scores (0-100)'!$B$3:$B$22,0),0),$C$10:$K$10)</f>
        <v>44.05</v>
      </c>
      <c r="J34" s="25">
        <f t="shared" si="3"/>
        <v>19</v>
      </c>
      <c r="K34" s="27">
        <f>SUMPRODUCT(INDEX('Indicator Scores (0-100)'!$C$3:$K$22,MATCH($B34,'Indicator Scores (0-100)'!$B$3:$B$22,0),0),$C$11:$K$11)</f>
        <v>37.900000000000006</v>
      </c>
      <c r="L34" s="25">
        <f t="shared" si="4"/>
        <v>19</v>
      </c>
      <c r="M34" s="25">
        <f t="shared" si="5"/>
        <v>19</v>
      </c>
      <c r="N34" s="25">
        <f t="shared" si="6"/>
        <v>19</v>
      </c>
      <c r="O34" s="25">
        <f t="shared" si="7"/>
        <v>0</v>
      </c>
      <c r="P34" s="25" t="str">
        <f t="shared" si="8"/>
        <v>Stable</v>
      </c>
    </row>
    <row r="35" spans="2:16" ht="15" customHeight="1" x14ac:dyDescent="0.35">
      <c r="B35" s="26" t="s">
        <v>93</v>
      </c>
      <c r="C35" s="27">
        <f>SUMPRODUCT(INDEX('Indicator Scores (0-100)'!$C$3:$K$22,MATCH($B35,'Indicator Scores (0-100)'!$B$3:$B$22,0),0),$C$7:$K$7)</f>
        <v>52.1</v>
      </c>
      <c r="D35" s="25">
        <f t="shared" si="0"/>
        <v>14</v>
      </c>
      <c r="E35" s="27">
        <f>SUMPRODUCT(INDEX('Indicator Scores (0-100)'!$C$3:$K$22,MATCH($B35,'Indicator Scores (0-100)'!$B$3:$B$22,0),0),$C$8:$K$8)</f>
        <v>52.772500000000008</v>
      </c>
      <c r="F35" s="25">
        <f t="shared" si="1"/>
        <v>15</v>
      </c>
      <c r="G35" s="27">
        <f>SUMPRODUCT(INDEX('Indicator Scores (0-100)'!$C$3:$K$22,MATCH($B35,'Indicator Scores (0-100)'!$B$3:$B$22,0),0),$C$9:$K$9)</f>
        <v>51.25</v>
      </c>
      <c r="H35" s="25">
        <f t="shared" si="2"/>
        <v>14</v>
      </c>
      <c r="I35" s="27">
        <f>SUMPRODUCT(INDEX('Indicator Scores (0-100)'!$C$3:$K$22,MATCH($B35,'Indicator Scores (0-100)'!$B$3:$B$22,0),0),$C$10:$K$10)</f>
        <v>52.449999999999996</v>
      </c>
      <c r="J35" s="25">
        <f t="shared" si="3"/>
        <v>15</v>
      </c>
      <c r="K35" s="27">
        <f>SUMPRODUCT(INDEX('Indicator Scores (0-100)'!$C$3:$K$22,MATCH($B35,'Indicator Scores (0-100)'!$B$3:$B$22,0),0),$C$11:$K$11)</f>
        <v>52.2</v>
      </c>
      <c r="L35" s="25">
        <f t="shared" si="4"/>
        <v>15</v>
      </c>
      <c r="M35" s="25">
        <f t="shared" si="5"/>
        <v>14</v>
      </c>
      <c r="N35" s="25">
        <f t="shared" si="6"/>
        <v>15</v>
      </c>
      <c r="O35" s="25">
        <f t="shared" si="7"/>
        <v>1</v>
      </c>
      <c r="P35" s="25" t="str">
        <f t="shared" si="8"/>
        <v>Stable</v>
      </c>
    </row>
    <row r="37" spans="2:16" ht="15" customHeight="1" x14ac:dyDescent="0.35">
      <c r="B37" s="3" t="s">
        <v>125</v>
      </c>
      <c r="C37" s="3"/>
      <c r="D37" s="3"/>
      <c r="E37" s="3"/>
      <c r="F37" s="3"/>
      <c r="G37" s="3"/>
      <c r="H37" s="3"/>
      <c r="I37" s="3"/>
      <c r="J37" s="3"/>
      <c r="K37" s="3"/>
      <c r="L37" s="3"/>
    </row>
    <row r="38" spans="2:16" ht="15" customHeight="1" x14ac:dyDescent="0.35">
      <c r="B38" s="3"/>
      <c r="C38" s="3"/>
      <c r="D38" s="3"/>
      <c r="E38" s="3"/>
      <c r="F38" s="3"/>
      <c r="G38" s="3"/>
      <c r="H38" s="3"/>
      <c r="I38" s="3"/>
      <c r="J38" s="3"/>
      <c r="K38" s="3"/>
      <c r="L38" s="3"/>
    </row>
    <row r="39" spans="2:16" ht="15" customHeight="1" x14ac:dyDescent="0.35">
      <c r="B39" s="3"/>
      <c r="C39" s="3"/>
      <c r="D39" s="3"/>
      <c r="E39" s="3"/>
      <c r="F39" s="3"/>
      <c r="G39" s="3"/>
      <c r="H39" s="3"/>
      <c r="I39" s="3"/>
      <c r="J39" s="3"/>
      <c r="K39" s="3"/>
      <c r="L39" s="3"/>
    </row>
    <row r="40" spans="2:16" ht="15" customHeight="1" x14ac:dyDescent="0.35">
      <c r="B40" s="3"/>
      <c r="C40" s="3"/>
      <c r="D40" s="3"/>
      <c r="E40" s="3"/>
      <c r="F40" s="3"/>
      <c r="G40" s="3"/>
      <c r="H40" s="3"/>
      <c r="I40" s="3"/>
      <c r="J40" s="3"/>
      <c r="K40" s="3"/>
      <c r="L40" s="3"/>
    </row>
    <row r="42" spans="2:16" ht="15" customHeight="1" x14ac:dyDescent="0.35">
      <c r="B42" s="17" t="s">
        <v>6</v>
      </c>
    </row>
  </sheetData>
  <sheetProtection password="CCC9" sheet="1" sort="0" autoFilter="0"/>
  <mergeCells count="2">
    <mergeCell ref="B3:L3"/>
    <mergeCell ref="B37:L40"/>
  </mergeCells>
  <pageMargins left="0.4" right="0.4" top="0.6" bottom="0.6" header="0.5" footer="0.5"/>
  <pageSetup fitToHeight="0" orientation="landscape" horizontalDpi="300" verticalDpi="300"/>
  <headerFooter>
    <oddHeader>&amp;L&amp;8 Bangladesh District Investment Attractiveness Index (BDIAI)&amp;R&amp;8 Sensitivity Analysis</oddHeader>
    <oddFooter>&amp;L&amp;7 © 2026 Ahmed Safwan Sajid. All Rights Reserved. Intellectual Property of the Author.&amp;R&amp;8 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5"/>
  <sheetViews>
    <sheetView showGridLines="0" zoomScale="20" zoomScaleNormal="20" workbookViewId="0"/>
  </sheetViews>
  <sheetFormatPr defaultColWidth="8.6328125" defaultRowHeight="14.5" x14ac:dyDescent="0.35"/>
  <cols>
    <col min="1" max="1" width="3" style="4" customWidth="1"/>
    <col min="2" max="2" width="14" style="4" customWidth="1"/>
    <col min="3" max="3" width="18" style="4" customWidth="1"/>
    <col min="4" max="4" width="55" style="4" customWidth="1"/>
    <col min="5" max="5" width="30" style="4" customWidth="1"/>
    <col min="6" max="6" width="12" style="4" customWidth="1"/>
  </cols>
  <sheetData>
    <row r="1" spans="2:6" ht="15.75" customHeight="1" x14ac:dyDescent="0.35">
      <c r="B1" s="21" t="s">
        <v>126</v>
      </c>
    </row>
    <row r="2" spans="2:6" ht="19.5" customHeight="1" x14ac:dyDescent="0.35">
      <c r="B2" s="19" t="s">
        <v>64</v>
      </c>
      <c r="C2" s="19" t="s">
        <v>127</v>
      </c>
      <c r="D2" s="19" t="s">
        <v>128</v>
      </c>
      <c r="E2" s="19" t="s">
        <v>129</v>
      </c>
      <c r="F2" s="19" t="s">
        <v>130</v>
      </c>
    </row>
    <row r="3" spans="2:6" ht="27.75" customHeight="1" x14ac:dyDescent="0.35">
      <c r="B3" s="13" t="s">
        <v>74</v>
      </c>
      <c r="C3" s="13" t="s">
        <v>72</v>
      </c>
      <c r="D3" s="13" t="s">
        <v>131</v>
      </c>
      <c r="E3" s="13" t="s">
        <v>132</v>
      </c>
      <c r="F3" s="13" t="s">
        <v>133</v>
      </c>
    </row>
    <row r="4" spans="2:6" ht="27.75" customHeight="1" x14ac:dyDescent="0.35">
      <c r="B4" s="13" t="s">
        <v>74</v>
      </c>
      <c r="C4" s="13" t="s">
        <v>134</v>
      </c>
      <c r="D4" s="13" t="s">
        <v>135</v>
      </c>
      <c r="E4" s="13" t="s">
        <v>136</v>
      </c>
      <c r="F4" s="13" t="s">
        <v>137</v>
      </c>
    </row>
    <row r="5" spans="2:6" ht="27.75" customHeight="1" x14ac:dyDescent="0.35">
      <c r="B5" s="13" t="s">
        <v>75</v>
      </c>
      <c r="C5" s="13" t="s">
        <v>138</v>
      </c>
      <c r="D5" s="13" t="s">
        <v>139</v>
      </c>
      <c r="E5" s="13" t="s">
        <v>140</v>
      </c>
      <c r="F5" s="13" t="s">
        <v>141</v>
      </c>
    </row>
    <row r="6" spans="2:6" ht="27.75" customHeight="1" x14ac:dyDescent="0.35">
      <c r="B6" s="13" t="s">
        <v>75</v>
      </c>
      <c r="C6" s="13" t="s">
        <v>72</v>
      </c>
      <c r="D6" s="13" t="s">
        <v>142</v>
      </c>
      <c r="E6" s="13" t="s">
        <v>143</v>
      </c>
      <c r="F6" s="13" t="s">
        <v>144</v>
      </c>
    </row>
    <row r="7" spans="2:6" ht="27.75" customHeight="1" x14ac:dyDescent="0.35">
      <c r="B7" s="13" t="s">
        <v>77</v>
      </c>
      <c r="C7" s="13" t="s">
        <v>65</v>
      </c>
      <c r="D7" s="13" t="s">
        <v>145</v>
      </c>
      <c r="E7" s="13" t="s">
        <v>146</v>
      </c>
      <c r="F7" s="13" t="s">
        <v>133</v>
      </c>
    </row>
    <row r="8" spans="2:6" ht="27.75" customHeight="1" x14ac:dyDescent="0.35">
      <c r="B8" s="13" t="s">
        <v>77</v>
      </c>
      <c r="C8" s="13" t="s">
        <v>147</v>
      </c>
      <c r="D8" s="13" t="s">
        <v>148</v>
      </c>
      <c r="E8" s="13" t="s">
        <v>149</v>
      </c>
      <c r="F8" s="13" t="s">
        <v>133</v>
      </c>
    </row>
    <row r="9" spans="2:6" ht="27.75" customHeight="1" x14ac:dyDescent="0.35">
      <c r="B9" s="13" t="s">
        <v>77</v>
      </c>
      <c r="C9" s="13" t="s">
        <v>147</v>
      </c>
      <c r="D9" s="13" t="s">
        <v>150</v>
      </c>
      <c r="E9" s="13" t="s">
        <v>151</v>
      </c>
      <c r="F9" s="13" t="s">
        <v>144</v>
      </c>
    </row>
    <row r="10" spans="2:6" ht="27.75" customHeight="1" x14ac:dyDescent="0.35">
      <c r="B10" s="13" t="s">
        <v>76</v>
      </c>
      <c r="C10" s="13" t="s">
        <v>72</v>
      </c>
      <c r="D10" s="13" t="s">
        <v>152</v>
      </c>
      <c r="E10" s="13" t="s">
        <v>153</v>
      </c>
      <c r="F10" s="13" t="s">
        <v>154</v>
      </c>
    </row>
    <row r="11" spans="2:6" ht="27.75" customHeight="1" x14ac:dyDescent="0.35">
      <c r="B11" s="13" t="s">
        <v>76</v>
      </c>
      <c r="C11" s="13" t="s">
        <v>147</v>
      </c>
      <c r="D11" s="13" t="s">
        <v>155</v>
      </c>
      <c r="E11" s="13" t="s">
        <v>156</v>
      </c>
      <c r="F11" s="13" t="s">
        <v>154</v>
      </c>
    </row>
    <row r="12" spans="2:6" ht="27.75" customHeight="1" x14ac:dyDescent="0.35">
      <c r="B12" s="13" t="s">
        <v>78</v>
      </c>
      <c r="C12" s="13" t="s">
        <v>147</v>
      </c>
      <c r="D12" s="13" t="s">
        <v>157</v>
      </c>
      <c r="E12" s="13" t="s">
        <v>158</v>
      </c>
      <c r="F12" s="13" t="s">
        <v>133</v>
      </c>
    </row>
    <row r="13" spans="2:6" ht="27.75" customHeight="1" x14ac:dyDescent="0.35">
      <c r="B13" s="13" t="s">
        <v>78</v>
      </c>
      <c r="C13" s="13" t="s">
        <v>65</v>
      </c>
      <c r="D13" s="13" t="s">
        <v>159</v>
      </c>
      <c r="E13" s="13" t="s">
        <v>160</v>
      </c>
      <c r="F13" s="13" t="s">
        <v>137</v>
      </c>
    </row>
    <row r="14" spans="2:6" ht="27.75" customHeight="1" x14ac:dyDescent="0.35">
      <c r="B14" s="13" t="s">
        <v>79</v>
      </c>
      <c r="C14" s="13" t="s">
        <v>147</v>
      </c>
      <c r="D14" s="13" t="s">
        <v>161</v>
      </c>
      <c r="E14" s="13" t="s">
        <v>162</v>
      </c>
      <c r="F14" s="13" t="s">
        <v>163</v>
      </c>
    </row>
    <row r="15" spans="2:6" ht="27.75" customHeight="1" x14ac:dyDescent="0.35">
      <c r="B15" s="13" t="s">
        <v>79</v>
      </c>
      <c r="C15" s="13" t="s">
        <v>65</v>
      </c>
      <c r="D15" s="13" t="s">
        <v>164</v>
      </c>
      <c r="E15" s="13" t="s">
        <v>165</v>
      </c>
      <c r="F15" s="13" t="s">
        <v>144</v>
      </c>
    </row>
    <row r="16" spans="2:6" ht="27.75" customHeight="1" x14ac:dyDescent="0.35">
      <c r="B16" s="13" t="s">
        <v>80</v>
      </c>
      <c r="C16" s="13" t="s">
        <v>73</v>
      </c>
      <c r="D16" s="13" t="s">
        <v>166</v>
      </c>
      <c r="E16" s="13" t="s">
        <v>167</v>
      </c>
      <c r="F16" s="13" t="s">
        <v>168</v>
      </c>
    </row>
    <row r="17" spans="2:6" ht="27.75" customHeight="1" x14ac:dyDescent="0.35">
      <c r="B17" s="13" t="s">
        <v>80</v>
      </c>
      <c r="C17" s="13" t="s">
        <v>147</v>
      </c>
      <c r="D17" s="13" t="s">
        <v>169</v>
      </c>
      <c r="E17" s="13" t="s">
        <v>170</v>
      </c>
      <c r="F17" s="13" t="s">
        <v>163</v>
      </c>
    </row>
    <row r="18" spans="2:6" ht="27.75" customHeight="1" x14ac:dyDescent="0.35">
      <c r="B18" s="13" t="s">
        <v>81</v>
      </c>
      <c r="C18" s="13" t="s">
        <v>72</v>
      </c>
      <c r="D18" s="13" t="s">
        <v>171</v>
      </c>
      <c r="E18" s="13" t="s">
        <v>172</v>
      </c>
      <c r="F18" s="13" t="s">
        <v>141</v>
      </c>
    </row>
    <row r="19" spans="2:6" ht="27.75" customHeight="1" x14ac:dyDescent="0.35">
      <c r="B19" s="13" t="s">
        <v>82</v>
      </c>
      <c r="C19" s="13" t="s">
        <v>65</v>
      </c>
      <c r="D19" s="13" t="s">
        <v>173</v>
      </c>
      <c r="E19" s="13" t="s">
        <v>174</v>
      </c>
      <c r="F19" s="13" t="s">
        <v>133</v>
      </c>
    </row>
    <row r="20" spans="2:6" ht="27.75" customHeight="1" x14ac:dyDescent="0.35">
      <c r="B20" s="13" t="s">
        <v>82</v>
      </c>
      <c r="C20" s="13" t="s">
        <v>72</v>
      </c>
      <c r="D20" s="13" t="s">
        <v>175</v>
      </c>
      <c r="E20" s="13" t="s">
        <v>176</v>
      </c>
      <c r="F20" s="13" t="s">
        <v>163</v>
      </c>
    </row>
    <row r="21" spans="2:6" ht="27.75" customHeight="1" x14ac:dyDescent="0.35">
      <c r="B21" s="13" t="s">
        <v>83</v>
      </c>
      <c r="C21" s="13" t="s">
        <v>72</v>
      </c>
      <c r="D21" s="13" t="s">
        <v>177</v>
      </c>
      <c r="E21" s="13" t="s">
        <v>178</v>
      </c>
      <c r="F21" s="13" t="s">
        <v>137</v>
      </c>
    </row>
    <row r="22" spans="2:6" ht="27.75" customHeight="1" x14ac:dyDescent="0.35">
      <c r="B22" s="13" t="s">
        <v>83</v>
      </c>
      <c r="C22" s="13" t="s">
        <v>134</v>
      </c>
      <c r="D22" s="13" t="s">
        <v>179</v>
      </c>
      <c r="E22" s="13" t="s">
        <v>180</v>
      </c>
      <c r="F22" s="13" t="s">
        <v>168</v>
      </c>
    </row>
    <row r="23" spans="2:6" ht="27.75" customHeight="1" x14ac:dyDescent="0.35">
      <c r="B23" s="13" t="s">
        <v>84</v>
      </c>
      <c r="C23" s="13" t="s">
        <v>65</v>
      </c>
      <c r="D23" s="13" t="s">
        <v>181</v>
      </c>
      <c r="E23" s="13" t="s">
        <v>182</v>
      </c>
      <c r="F23" s="13" t="s">
        <v>168</v>
      </c>
    </row>
    <row r="24" spans="2:6" ht="27.75" customHeight="1" x14ac:dyDescent="0.35">
      <c r="B24" s="13" t="s">
        <v>85</v>
      </c>
      <c r="C24" s="13" t="s">
        <v>183</v>
      </c>
      <c r="D24" s="13" t="s">
        <v>184</v>
      </c>
      <c r="E24" s="13" t="s">
        <v>185</v>
      </c>
      <c r="F24" s="13" t="s">
        <v>163</v>
      </c>
    </row>
    <row r="25" spans="2:6" ht="27.75" customHeight="1" x14ac:dyDescent="0.35">
      <c r="B25" s="13" t="s">
        <v>85</v>
      </c>
      <c r="C25" s="13" t="s">
        <v>147</v>
      </c>
      <c r="D25" s="13" t="s">
        <v>186</v>
      </c>
      <c r="E25" s="13" t="s">
        <v>149</v>
      </c>
      <c r="F25" s="13" t="s">
        <v>187</v>
      </c>
    </row>
    <row r="26" spans="2:6" ht="27.75" customHeight="1" x14ac:dyDescent="0.35">
      <c r="B26" s="13" t="s">
        <v>86</v>
      </c>
      <c r="C26" s="13" t="s">
        <v>183</v>
      </c>
      <c r="D26" s="13" t="s">
        <v>188</v>
      </c>
      <c r="E26" s="13" t="s">
        <v>189</v>
      </c>
      <c r="F26" s="13" t="s">
        <v>144</v>
      </c>
    </row>
    <row r="27" spans="2:6" ht="27.75" customHeight="1" x14ac:dyDescent="0.35">
      <c r="B27" s="13" t="s">
        <v>86</v>
      </c>
      <c r="C27" s="13" t="s">
        <v>72</v>
      </c>
      <c r="D27" s="13" t="s">
        <v>190</v>
      </c>
      <c r="E27" s="13" t="s">
        <v>191</v>
      </c>
      <c r="F27" s="13" t="s">
        <v>168</v>
      </c>
    </row>
    <row r="28" spans="2:6" ht="27.75" customHeight="1" x14ac:dyDescent="0.35">
      <c r="B28" s="13" t="s">
        <v>87</v>
      </c>
      <c r="C28" s="13" t="s">
        <v>72</v>
      </c>
      <c r="D28" s="13" t="s">
        <v>192</v>
      </c>
      <c r="E28" s="13" t="s">
        <v>193</v>
      </c>
      <c r="F28" s="13" t="s">
        <v>133</v>
      </c>
    </row>
    <row r="29" spans="2:6" ht="27.75" customHeight="1" x14ac:dyDescent="0.35">
      <c r="B29" s="13" t="s">
        <v>87</v>
      </c>
      <c r="C29" s="13" t="s">
        <v>183</v>
      </c>
      <c r="D29" s="13" t="s">
        <v>194</v>
      </c>
      <c r="E29" s="13" t="s">
        <v>160</v>
      </c>
      <c r="F29" s="13" t="s">
        <v>137</v>
      </c>
    </row>
    <row r="30" spans="2:6" ht="27.75" customHeight="1" x14ac:dyDescent="0.35">
      <c r="B30" s="13" t="s">
        <v>88</v>
      </c>
      <c r="C30" s="13" t="s">
        <v>147</v>
      </c>
      <c r="D30" s="13" t="s">
        <v>195</v>
      </c>
      <c r="E30" s="13" t="s">
        <v>149</v>
      </c>
      <c r="F30" s="13" t="s">
        <v>163</v>
      </c>
    </row>
    <row r="31" spans="2:6" ht="27.75" customHeight="1" x14ac:dyDescent="0.35">
      <c r="B31" s="13" t="s">
        <v>88</v>
      </c>
      <c r="C31" s="13" t="s">
        <v>134</v>
      </c>
      <c r="D31" s="13" t="s">
        <v>196</v>
      </c>
      <c r="E31" s="13" t="s">
        <v>197</v>
      </c>
      <c r="F31" s="13" t="s">
        <v>198</v>
      </c>
    </row>
    <row r="32" spans="2:6" ht="27.75" customHeight="1" x14ac:dyDescent="0.35">
      <c r="B32" s="13" t="s">
        <v>89</v>
      </c>
      <c r="C32" s="13" t="s">
        <v>73</v>
      </c>
      <c r="D32" s="13" t="s">
        <v>199</v>
      </c>
      <c r="E32" s="13" t="s">
        <v>200</v>
      </c>
      <c r="F32" s="13" t="s">
        <v>133</v>
      </c>
    </row>
    <row r="33" spans="2:6" ht="27.75" customHeight="1" x14ac:dyDescent="0.35">
      <c r="B33" s="13" t="s">
        <v>89</v>
      </c>
      <c r="C33" s="13" t="s">
        <v>68</v>
      </c>
      <c r="D33" s="13" t="s">
        <v>201</v>
      </c>
      <c r="E33" s="13" t="s">
        <v>202</v>
      </c>
      <c r="F33" s="13" t="s">
        <v>168</v>
      </c>
    </row>
    <row r="34" spans="2:6" ht="27.75" customHeight="1" x14ac:dyDescent="0.35">
      <c r="B34" s="13" t="s">
        <v>90</v>
      </c>
      <c r="C34" s="13" t="s">
        <v>147</v>
      </c>
      <c r="D34" s="13" t="s">
        <v>203</v>
      </c>
      <c r="E34" s="13" t="s">
        <v>204</v>
      </c>
      <c r="F34" s="13" t="s">
        <v>168</v>
      </c>
    </row>
    <row r="35" spans="2:6" ht="27.75" customHeight="1" x14ac:dyDescent="0.35">
      <c r="B35" s="13" t="s">
        <v>90</v>
      </c>
      <c r="C35" s="13" t="s">
        <v>65</v>
      </c>
      <c r="D35" s="13" t="s">
        <v>205</v>
      </c>
      <c r="E35" s="13" t="s">
        <v>206</v>
      </c>
      <c r="F35" s="13" t="s">
        <v>207</v>
      </c>
    </row>
    <row r="36" spans="2:6" ht="27.75" customHeight="1" x14ac:dyDescent="0.35">
      <c r="B36" s="13" t="s">
        <v>91</v>
      </c>
      <c r="C36" s="13" t="s">
        <v>147</v>
      </c>
      <c r="D36" s="13" t="s">
        <v>208</v>
      </c>
      <c r="E36" s="13" t="s">
        <v>209</v>
      </c>
      <c r="F36" s="13" t="s">
        <v>210</v>
      </c>
    </row>
    <row r="37" spans="2:6" ht="27.75" customHeight="1" x14ac:dyDescent="0.35">
      <c r="B37" s="13" t="s">
        <v>92</v>
      </c>
      <c r="C37" s="13" t="s">
        <v>147</v>
      </c>
      <c r="D37" s="13" t="s">
        <v>211</v>
      </c>
      <c r="E37" s="13" t="s">
        <v>149</v>
      </c>
      <c r="F37" s="13" t="s">
        <v>163</v>
      </c>
    </row>
    <row r="38" spans="2:6" ht="27.75" customHeight="1" x14ac:dyDescent="0.35">
      <c r="B38" s="13" t="s">
        <v>92</v>
      </c>
      <c r="C38" s="13" t="s">
        <v>212</v>
      </c>
      <c r="D38" s="13" t="s">
        <v>213</v>
      </c>
      <c r="E38" s="13" t="s">
        <v>214</v>
      </c>
      <c r="F38" s="13" t="s">
        <v>168</v>
      </c>
    </row>
    <row r="39" spans="2:6" ht="27.75" customHeight="1" x14ac:dyDescent="0.35">
      <c r="B39" s="13" t="s">
        <v>93</v>
      </c>
      <c r="C39" s="13" t="s">
        <v>72</v>
      </c>
      <c r="D39" s="13" t="s">
        <v>215</v>
      </c>
      <c r="E39" s="13" t="s">
        <v>216</v>
      </c>
      <c r="F39" s="13" t="s">
        <v>168</v>
      </c>
    </row>
    <row r="40" spans="2:6" ht="27.75" customHeight="1" x14ac:dyDescent="0.35">
      <c r="B40" s="13" t="s">
        <v>93</v>
      </c>
      <c r="C40" s="13" t="s">
        <v>73</v>
      </c>
      <c r="D40" s="13" t="s">
        <v>217</v>
      </c>
      <c r="E40" s="13" t="s">
        <v>218</v>
      </c>
      <c r="F40" s="13" t="s">
        <v>219</v>
      </c>
    </row>
    <row r="41" spans="2:6" ht="27.75" customHeight="1" x14ac:dyDescent="0.35">
      <c r="B41" s="13" t="s">
        <v>220</v>
      </c>
      <c r="C41" s="13" t="s">
        <v>134</v>
      </c>
      <c r="D41" s="13" t="s">
        <v>221</v>
      </c>
      <c r="E41" s="13" t="s">
        <v>222</v>
      </c>
      <c r="F41" s="13" t="s">
        <v>137</v>
      </c>
    </row>
    <row r="42" spans="2:6" ht="27.75" customHeight="1" x14ac:dyDescent="0.35">
      <c r="B42" s="13" t="s">
        <v>220</v>
      </c>
      <c r="C42" s="13" t="s">
        <v>183</v>
      </c>
      <c r="D42" s="13" t="s">
        <v>223</v>
      </c>
      <c r="E42" s="13" t="s">
        <v>224</v>
      </c>
      <c r="F42" s="13" t="s">
        <v>141</v>
      </c>
    </row>
    <row r="45" spans="2:6" ht="15" customHeight="1" x14ac:dyDescent="0.35">
      <c r="B45" s="17" t="s">
        <v>6</v>
      </c>
    </row>
  </sheetData>
  <sheetProtection password="CCC9" sheet="1" sort="0" autoFilter="0"/>
  <pageMargins left="0.4" right="0.4" top="0.6" bottom="0.6" header="0.5" footer="0.5"/>
  <pageSetup fitToHeight="0" orientation="landscape" horizontalDpi="300" verticalDpi="300"/>
  <headerFooter>
    <oddHeader>&amp;L&amp;8 Bangladesh District Investment Attractiveness Index (BDIAI)&amp;R&amp;8 Source Log</oddHeader>
    <oddFooter>&amp;L&amp;7 © 2026 Ahmed Safwan Sajid. All Rights Reserved. Intellectual Property of the Author.&amp;R&amp;8 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4"/>
  <sheetViews>
    <sheetView showGridLines="0" zoomScale="40" zoomScaleNormal="40" workbookViewId="0"/>
  </sheetViews>
  <sheetFormatPr defaultColWidth="8.6328125" defaultRowHeight="14.5" x14ac:dyDescent="0.35"/>
  <cols>
    <col min="1" max="1" width="3" style="4" customWidth="1"/>
    <col min="2" max="2" width="34" style="4" customWidth="1"/>
    <col min="3" max="3" width="90" style="4" customWidth="1"/>
  </cols>
  <sheetData>
    <row r="1" spans="2:3" ht="15.75" customHeight="1" x14ac:dyDescent="0.35">
      <c r="B1" s="21" t="s">
        <v>225</v>
      </c>
    </row>
    <row r="2" spans="2:3" ht="15" customHeight="1" x14ac:dyDescent="0.35">
      <c r="B2" s="19" t="s">
        <v>21</v>
      </c>
      <c r="C2" s="19" t="s">
        <v>226</v>
      </c>
    </row>
    <row r="3" spans="2:3" ht="60" customHeight="1" x14ac:dyDescent="0.35">
      <c r="B3" s="31" t="s">
        <v>24</v>
      </c>
      <c r="C3" s="13" t="s">
        <v>227</v>
      </c>
    </row>
    <row r="4" spans="2:3" ht="60" customHeight="1" x14ac:dyDescent="0.35">
      <c r="B4" s="31" t="s">
        <v>26</v>
      </c>
      <c r="C4" s="13" t="s">
        <v>228</v>
      </c>
    </row>
    <row r="5" spans="2:3" ht="60" customHeight="1" x14ac:dyDescent="0.35">
      <c r="B5" s="31" t="s">
        <v>28</v>
      </c>
      <c r="C5" s="13" t="s">
        <v>229</v>
      </c>
    </row>
    <row r="6" spans="2:3" ht="60" customHeight="1" x14ac:dyDescent="0.35">
      <c r="B6" s="31" t="s">
        <v>30</v>
      </c>
      <c r="C6" s="13" t="s">
        <v>230</v>
      </c>
    </row>
    <row r="7" spans="2:3" ht="60" customHeight="1" x14ac:dyDescent="0.35">
      <c r="B7" s="31" t="s">
        <v>32</v>
      </c>
      <c r="C7" s="13" t="s">
        <v>231</v>
      </c>
    </row>
    <row r="8" spans="2:3" ht="60" customHeight="1" x14ac:dyDescent="0.35">
      <c r="B8" s="31" t="s">
        <v>34</v>
      </c>
      <c r="C8" s="13" t="s">
        <v>232</v>
      </c>
    </row>
    <row r="9" spans="2:3" ht="60" customHeight="1" x14ac:dyDescent="0.35">
      <c r="B9" s="31" t="s">
        <v>36</v>
      </c>
      <c r="C9" s="13" t="s">
        <v>233</v>
      </c>
    </row>
    <row r="10" spans="2:3" ht="60" customHeight="1" x14ac:dyDescent="0.35">
      <c r="B10" s="31" t="s">
        <v>38</v>
      </c>
      <c r="C10" s="13" t="s">
        <v>234</v>
      </c>
    </row>
    <row r="11" spans="2:3" ht="60" customHeight="1" x14ac:dyDescent="0.35">
      <c r="B11" s="31" t="s">
        <v>40</v>
      </c>
      <c r="C11" s="13" t="s">
        <v>235</v>
      </c>
    </row>
    <row r="14" spans="2:3" ht="15" customHeight="1" x14ac:dyDescent="0.35">
      <c r="B14" s="17" t="s">
        <v>6</v>
      </c>
    </row>
  </sheetData>
  <sheetProtection password="CCC9" sheet="1" sort="0" autoFilter="0"/>
  <pageMargins left="0.4" right="0.4" top="0.6" bottom="0.6" header="0.5" footer="0.5"/>
  <pageSetup fitToHeight="0" orientation="landscape" horizontalDpi="300" verticalDpi="300"/>
  <headerFooter>
    <oddHeader>&amp;L&amp;8 Bangladesh District Investment Attractiveness Index (BDIAI)&amp;R&amp;8 Data Basis Notes</oddHeader>
    <oddFooter>&amp;L&amp;7 © 2026 Ahmed Safwan Sajid. All Rights Reserved. Intellectual Property of the Author.&amp;R&amp;8 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5"/>
  <sheetViews>
    <sheetView showGridLines="0" tabSelected="1" zoomScale="30" zoomScaleNormal="30" workbookViewId="0">
      <selection activeCell="AI31" sqref="AI31"/>
    </sheetView>
  </sheetViews>
  <sheetFormatPr defaultColWidth="8.6328125" defaultRowHeight="14.5" x14ac:dyDescent="0.35"/>
  <cols>
    <col min="1" max="1" width="3" style="4" customWidth="1"/>
    <col min="2" max="2" width="6" style="4" customWidth="1"/>
    <col min="3" max="3" width="100" style="4" customWidth="1"/>
  </cols>
  <sheetData>
    <row r="1" spans="2:3" ht="15.75" customHeight="1" x14ac:dyDescent="0.35">
      <c r="B1" s="21" t="s">
        <v>236</v>
      </c>
    </row>
    <row r="2" spans="2:3" ht="15" customHeight="1" x14ac:dyDescent="0.35">
      <c r="B2" s="32" t="s">
        <v>237</v>
      </c>
      <c r="C2" s="32" t="s">
        <v>129</v>
      </c>
    </row>
    <row r="3" spans="2:3" ht="27.75" customHeight="1" x14ac:dyDescent="0.35">
      <c r="B3" s="33">
        <v>1</v>
      </c>
      <c r="C3" s="13" t="s">
        <v>238</v>
      </c>
    </row>
    <row r="4" spans="2:3" ht="27.75" customHeight="1" x14ac:dyDescent="0.35">
      <c r="B4" s="33">
        <v>2</v>
      </c>
      <c r="C4" s="13" t="s">
        <v>239</v>
      </c>
    </row>
    <row r="5" spans="2:3" ht="27.75" customHeight="1" x14ac:dyDescent="0.35">
      <c r="B5" s="33">
        <v>3</v>
      </c>
      <c r="C5" s="13" t="s">
        <v>240</v>
      </c>
    </row>
    <row r="6" spans="2:3" ht="27.75" customHeight="1" x14ac:dyDescent="0.35">
      <c r="B6" s="33">
        <v>4</v>
      </c>
      <c r="C6" s="13" t="s">
        <v>241</v>
      </c>
    </row>
    <row r="7" spans="2:3" ht="27.75" customHeight="1" x14ac:dyDescent="0.35">
      <c r="B7" s="33">
        <v>5</v>
      </c>
      <c r="C7" s="13" t="s">
        <v>242</v>
      </c>
    </row>
    <row r="8" spans="2:3" ht="27.75" customHeight="1" x14ac:dyDescent="0.35">
      <c r="B8" s="33">
        <v>6</v>
      </c>
      <c r="C8" s="13" t="s">
        <v>243</v>
      </c>
    </row>
    <row r="9" spans="2:3" ht="27.75" customHeight="1" x14ac:dyDescent="0.35">
      <c r="B9" s="33">
        <v>7</v>
      </c>
      <c r="C9" s="13" t="s">
        <v>244</v>
      </c>
    </row>
    <row r="10" spans="2:3" ht="27.75" customHeight="1" x14ac:dyDescent="0.35">
      <c r="B10" s="33">
        <v>8</v>
      </c>
      <c r="C10" s="13" t="s">
        <v>245</v>
      </c>
    </row>
    <row r="11" spans="2:3" ht="27.75" customHeight="1" x14ac:dyDescent="0.35">
      <c r="B11" s="33">
        <v>9</v>
      </c>
      <c r="C11" s="13" t="s">
        <v>246</v>
      </c>
    </row>
    <row r="12" spans="2:3" ht="27.75" customHeight="1" x14ac:dyDescent="0.35">
      <c r="B12" s="33">
        <v>10</v>
      </c>
      <c r="C12" s="13" t="s">
        <v>247</v>
      </c>
    </row>
    <row r="13" spans="2:3" ht="27.75" customHeight="1" x14ac:dyDescent="0.35">
      <c r="B13" s="33">
        <v>11</v>
      </c>
      <c r="C13" s="13" t="s">
        <v>248</v>
      </c>
    </row>
    <row r="14" spans="2:3" ht="27.75" customHeight="1" x14ac:dyDescent="0.35">
      <c r="B14" s="33">
        <v>12</v>
      </c>
      <c r="C14" s="13" t="s">
        <v>249</v>
      </c>
    </row>
    <row r="15" spans="2:3" ht="27.75" customHeight="1" x14ac:dyDescent="0.35">
      <c r="B15" s="33">
        <v>13</v>
      </c>
      <c r="C15" s="13" t="s">
        <v>250</v>
      </c>
    </row>
    <row r="16" spans="2:3" ht="27.75" customHeight="1" x14ac:dyDescent="0.35">
      <c r="B16" s="33">
        <v>14</v>
      </c>
      <c r="C16" s="13" t="s">
        <v>251</v>
      </c>
    </row>
    <row r="17" spans="2:3" ht="27.75" customHeight="1" x14ac:dyDescent="0.35">
      <c r="B17" s="33">
        <v>15</v>
      </c>
      <c r="C17" s="13" t="s">
        <v>252</v>
      </c>
    </row>
    <row r="18" spans="2:3" ht="27.75" customHeight="1" x14ac:dyDescent="0.35">
      <c r="B18" s="33">
        <v>16</v>
      </c>
      <c r="C18" s="13" t="s">
        <v>253</v>
      </c>
    </row>
    <row r="19" spans="2:3" ht="27.75" customHeight="1" x14ac:dyDescent="0.35">
      <c r="B19" s="33">
        <v>17</v>
      </c>
      <c r="C19" s="13" t="s">
        <v>254</v>
      </c>
    </row>
    <row r="20" spans="2:3" ht="27.75" customHeight="1" x14ac:dyDescent="0.35">
      <c r="B20" s="33">
        <v>18</v>
      </c>
      <c r="C20" s="13" t="s">
        <v>255</v>
      </c>
    </row>
    <row r="21" spans="2:3" ht="27.75" customHeight="1" x14ac:dyDescent="0.35">
      <c r="B21" s="33">
        <v>19</v>
      </c>
      <c r="C21" s="13" t="s">
        <v>256</v>
      </c>
    </row>
    <row r="22" spans="2:3" ht="27.75" customHeight="1" x14ac:dyDescent="0.35">
      <c r="B22" s="33">
        <v>20</v>
      </c>
      <c r="C22" s="13" t="s">
        <v>257</v>
      </c>
    </row>
    <row r="23" spans="2:3" ht="27.75" customHeight="1" x14ac:dyDescent="0.35">
      <c r="B23" s="33">
        <v>21</v>
      </c>
      <c r="C23" s="13" t="s">
        <v>258</v>
      </c>
    </row>
    <row r="24" spans="2:3" ht="27.75" customHeight="1" x14ac:dyDescent="0.35">
      <c r="B24" s="33">
        <v>22</v>
      </c>
      <c r="C24" s="13" t="s">
        <v>259</v>
      </c>
    </row>
    <row r="25" spans="2:3" ht="27.75" customHeight="1" x14ac:dyDescent="0.35">
      <c r="B25" s="33">
        <v>23</v>
      </c>
      <c r="C25" s="13" t="s">
        <v>260</v>
      </c>
    </row>
    <row r="26" spans="2:3" ht="27.75" customHeight="1" x14ac:dyDescent="0.35">
      <c r="B26" s="33">
        <v>24</v>
      </c>
      <c r="C26" s="13" t="s">
        <v>261</v>
      </c>
    </row>
    <row r="27" spans="2:3" ht="27.75" customHeight="1" x14ac:dyDescent="0.35">
      <c r="B27" s="33">
        <v>25</v>
      </c>
      <c r="C27" s="13" t="s">
        <v>262</v>
      </c>
    </row>
    <row r="28" spans="2:3" ht="27.75" customHeight="1" x14ac:dyDescent="0.35">
      <c r="B28" s="33">
        <v>26</v>
      </c>
      <c r="C28" s="13" t="s">
        <v>263</v>
      </c>
    </row>
    <row r="29" spans="2:3" ht="27.75" customHeight="1" x14ac:dyDescent="0.35">
      <c r="B29" s="33">
        <v>27</v>
      </c>
      <c r="C29" s="13" t="s">
        <v>264</v>
      </c>
    </row>
    <row r="30" spans="2:3" ht="27.75" customHeight="1" x14ac:dyDescent="0.35">
      <c r="B30" s="33">
        <v>28</v>
      </c>
      <c r="C30" s="13" t="s">
        <v>265</v>
      </c>
    </row>
    <row r="31" spans="2:3" ht="27.75" customHeight="1" x14ac:dyDescent="0.35">
      <c r="B31" s="33">
        <v>29</v>
      </c>
      <c r="C31" s="13" t="s">
        <v>266</v>
      </c>
    </row>
    <row r="32" spans="2:3" ht="27.75" customHeight="1" x14ac:dyDescent="0.35">
      <c r="B32" s="33">
        <v>30</v>
      </c>
      <c r="C32" s="13" t="s">
        <v>267</v>
      </c>
    </row>
    <row r="35" spans="2:2" ht="15" customHeight="1" x14ac:dyDescent="0.35">
      <c r="B35" s="17" t="s">
        <v>6</v>
      </c>
    </row>
  </sheetData>
  <sheetProtection password="CCC9" sheet="1" sort="0" autoFilter="0"/>
  <pageMargins left="0.4" right="0.4" top="0.6" bottom="0.6" header="0.5" footer="0.5"/>
  <pageSetup fitToHeight="0" orientation="landscape" horizontalDpi="300" verticalDpi="300"/>
  <headerFooter>
    <oddHeader>&amp;L&amp;8 Bangladesh District Investment Attractiveness Index (BDIAI)&amp;R&amp;8 References</oddHeader>
    <oddFooter>&amp;L&amp;7 © 2026 Ahmed Safwan Sajid. All Rights Reserved. Intellectual Property of the Author.&amp;R&amp;8 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Methodology</vt:lpstr>
      <vt:lpstr>Formula Guide</vt:lpstr>
      <vt:lpstr>Indicator Scores (0-100)</vt:lpstr>
      <vt:lpstr>Rankings</vt:lpstr>
      <vt:lpstr>Sensitivity Analysis</vt:lpstr>
      <vt:lpstr>Source Log</vt:lpstr>
      <vt:lpstr>Data Basis Notes</vt:lpstr>
      <vt:lpstr>References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Bangladesh District Investment Attractiveness Index (BDIAI)</dc:title>
  <dc:subject>District Investment Attractiveness Index</dc:subject>
  <dc:creator>Ahmed Safwan Sajid</dc:creator>
  <dc:description>© 2026 Ahmed Safwan Sajid. All Rights Reserved. Intellectual Property of the Author.</dc:description>
  <cp:lastModifiedBy>asiacom</cp:lastModifiedBy>
  <cp:revision>0</cp:revision>
  <dcterms:created xsi:type="dcterms:W3CDTF">2026-07-28T05:45:15Z</dcterms:created>
  <dcterms:modified xsi:type="dcterms:W3CDTF">2026-07-28T05:55:00Z</dcterms:modified>
  <dc:language>en-US</dc:language>
</cp:coreProperties>
</file>